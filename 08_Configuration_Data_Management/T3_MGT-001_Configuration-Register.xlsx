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CI register" sheetId="2" state="visible" r:id="rId4"/>
    <sheet name="PDR checklist" sheetId="3" state="visible" r:id="rId5"/>
    <sheet name="By member" sheetId="4" state="visible" r:id="rId6"/>
    <sheet name="Folders" sheetId="5" state="visible" r:id="rId7"/>
    <sheet name="Baselines" sheetId="6" state="visible" r:id="rId8"/>
    <sheet name="Change log" sheetId="7" state="visible" r:id="rId9"/>
  </sheets>
  <definedNames>
    <definedName function="false" hidden="true" localSheetId="5" name="_xlnm._FilterDatabase" vbProcedure="false">Baselines!$A$1:$F$4</definedName>
    <definedName function="false" hidden="true" localSheetId="6" name="_xlnm._FilterDatabase" vbProcedure="false">'Change log'!$A$1:$G$3</definedName>
    <definedName function="false" hidden="true" localSheetId="1" name="_xlnm._FilterDatabase" vbProcedure="false">'CI register'!$A$1:$L$44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<sst xmlns="http://schemas.openxmlformats.org/spreadsheetml/2006/main" count="575" uniqueCount="295">
  <si>
    <t xml:space="preserve">NESR SCMS configuration register</t>
  </si>
  <si>
    <t xml:space="preserve">Team 3. Satellite communication and observation along the sea route in all weather conditions with monitoring of ice conditions.</t>
  </si>
  <si>
    <t xml:space="preserve">Repository: https://github.com/VladZg/NESR</t>
  </si>
  <si>
    <t xml:space="preserve">Configuration manager</t>
  </si>
  <si>
    <t xml:space="preserve">Jash Joshi (proposed). Backup for model and requirements files: Vladislav Zagorodnyuk.</t>
  </si>
  <si>
    <t xml:space="preserve">Sheets</t>
  </si>
  <si>
    <t xml:space="preserve">CI register: every configuration item (CI): owner, version, status, PDR deliverable, path in the repository.</t>
  </si>
  <si>
    <t xml:space="preserve">PDR checklist: the 9 PDR deliverables of the course, their primary CI and progress of all CIs that belong to each.</t>
  </si>
  <si>
    <t xml:space="preserve">By member: CIs per team member and their status.</t>
  </si>
  <si>
    <t xml:space="preserve">Folders: repository folders and number of CIs in each.</t>
  </si>
  <si>
    <t xml:space="preserve">Baselines: planned baselines and git tags.</t>
  </si>
  <si>
    <t xml:space="preserve">Change log: one row per new version of a CI.</t>
  </si>
  <si>
    <t xml:space="preserve">Rules (full text in CONTRIBUTING.md)</t>
  </si>
  <si>
    <t xml:space="preserve">1. File name: T3_&lt;CAT&gt;-&lt;NNN&gt;_&lt;Short-Title&gt;.&lt;ext&gt;. No version, date or status in the name; git keeps the history.</t>
  </si>
  <si>
    <t xml:space="preserve">2. Version vMAJOR.MINOR lives here and in the document header: v0.x drafts (+0.1 per merged pull request), v1.0 at the PDR baseline, v1.x after an approved change request.</t>
  </si>
  <si>
    <t xml:space="preserve">3. Every pull request that adds or changes a CI updates its row here (Version, Status, Last update) and adds a Change log row.</t>
  </si>
  <si>
    <t xml:space="preserve">4. Baselines are git tags plus GitHub Releases: srr-baseline, pdr-v1.0.</t>
  </si>
  <si>
    <t xml:space="preserve">Yellow cells are edited by CI owners and the configuration manager; grey cells are formulas.</t>
  </si>
  <si>
    <t xml:space="preserve">CI ID</t>
  </si>
  <si>
    <t xml:space="preserve">Title</t>
  </si>
  <si>
    <t xml:space="preserve">Category</t>
  </si>
  <si>
    <t xml:space="preserve">Owner</t>
  </si>
  <si>
    <t xml:space="preserve">Formats</t>
  </si>
  <si>
    <t xml:space="preserve">Version</t>
  </si>
  <si>
    <t xml:space="preserve">Status</t>
  </si>
  <si>
    <t xml:space="preserve">PDR item</t>
  </si>
  <si>
    <t xml:space="preserve">Path in repository</t>
  </si>
  <si>
    <t xml:space="preserve">In repo</t>
  </si>
  <si>
    <t xml:space="preserve">Last update</t>
  </si>
  <si>
    <t xml:space="preserve">Notes</t>
  </si>
  <si>
    <t xml:space="preserve">MGT-001</t>
  </si>
  <si>
    <t xml:space="preserve">Configuration register</t>
  </si>
  <si>
    <t xml:space="preserve">MGT</t>
  </si>
  <si>
    <t xml:space="preserve">Jash Joshi</t>
  </si>
  <si>
    <t xml:space="preserve">xlsx</t>
  </si>
  <si>
    <t xml:space="preserve">v0.2</t>
  </si>
  <si>
    <t xml:space="preserve">Draft</t>
  </si>
  <si>
    <t xml:space="preserve">08_Configuration_Data_Management/T3_MGT-001_Configuration-Register.xlsx</t>
  </si>
  <si>
    <t xml:space="preserve">Yes</t>
  </si>
  <si>
    <t xml:space="preserve">Single source of truth for all CIs</t>
  </si>
  <si>
    <t xml:space="preserve">MGT-002</t>
  </si>
  <si>
    <t xml:space="preserve">Product card (repository README.md)</t>
  </si>
  <si>
    <t xml:space="preserve">md</t>
  </si>
  <si>
    <t xml:space="preserve">v0.1</t>
  </si>
  <si>
    <t xml:space="preserve">README.md</t>
  </si>
  <si>
    <t xml:space="preserve">Stored as README.md</t>
  </si>
  <si>
    <t xml:space="preserve">MGT-003</t>
  </si>
  <si>
    <t xml:space="preserve">Project management plan</t>
  </si>
  <si>
    <t xml:space="preserve">04_Project_Management/T3_MGT-003_Project-Management-Plan.md</t>
  </si>
  <si>
    <t xml:space="preserve">Starter text, to complete</t>
  </si>
  <si>
    <t xml:space="preserve">MGT-004</t>
  </si>
  <si>
    <t xml:space="preserve">Team roles and responsibilities</t>
  </si>
  <si>
    <t xml:space="preserve">04_Project_Management/T3_MGT-004_Team-Roles.md</t>
  </si>
  <si>
    <t xml:space="preserve">Inside the project management plan</t>
  </si>
  <si>
    <t xml:space="preserve">MGT-005</t>
  </si>
  <si>
    <t xml:space="preserve">Schedule and milestones</t>
  </si>
  <si>
    <t xml:space="preserve">-</t>
  </si>
  <si>
    <t xml:space="preserve">Planned</t>
  </si>
  <si>
    <t xml:space="preserve">04_Project_Management/T3_MGT-005_Schedule-and-Milestones.md</t>
  </si>
  <si>
    <t xml:space="preserve">No</t>
  </si>
  <si>
    <t xml:space="preserve">Dates of SRR and PDR to add</t>
  </si>
  <si>
    <t xml:space="preserve">MGT-006</t>
  </si>
  <si>
    <t xml:space="preserve">Work breakdown structure</t>
  </si>
  <si>
    <t xml:space="preserve">csv</t>
  </si>
  <si>
    <t xml:space="preserve">04_Project_Management/T3_MGT-006_WBS.csv</t>
  </si>
  <si>
    <t xml:space="preserve">MGT-007</t>
  </si>
  <si>
    <t xml:space="preserve">Configuration and data management baseline plan</t>
  </si>
  <si>
    <t xml:space="preserve">08_Configuration_Data_Management/T3_MGT-007_CM-DM-Baseline-Plan.md</t>
  </si>
  <si>
    <t xml:space="preserve">MGT-008</t>
  </si>
  <si>
    <t xml:space="preserve">Naming, versioning and review rules (CONTRIBUTING.md)</t>
  </si>
  <si>
    <t xml:space="preserve">CONTRIBUTING.md</t>
  </si>
  <si>
    <t xml:space="preserve">Stored as CONTRIBUTING.md</t>
  </si>
  <si>
    <t xml:space="preserve">REQ-001</t>
  </si>
  <si>
    <t xml:space="preserve">Mission statement, needs, goals, objectives and MOEs</t>
  </si>
  <si>
    <t xml:space="preserve">REQ</t>
  </si>
  <si>
    <t xml:space="preserve">03_Requirements/T3_REQ-001_Mission-Statement-and-NGO.md</t>
  </si>
  <si>
    <t xml:space="preserve">REQ-002</t>
  </si>
  <si>
    <t xml:space="preserve">Stakeholder register</t>
  </si>
  <si>
    <t xml:space="preserve">03_Requirements/T3_REQ-002_Stakeholder-Register.md</t>
  </si>
  <si>
    <t xml:space="preserve">Also a sheet in REQ-003</t>
  </si>
  <si>
    <t xml:space="preserve">REQ-003</t>
  </si>
  <si>
    <t xml:space="preserve">System (SR) and technical (TR) requirements with traceability</t>
  </si>
  <si>
    <t xml:space="preserve">Vladislav Zagorodnyuk</t>
  </si>
  <si>
    <t xml:space="preserve">xlsx, md</t>
  </si>
  <si>
    <t xml:space="preserve">v0.3</t>
  </si>
  <si>
    <t xml:space="preserve">03_Requirements/T3_REQ-003_System-and-Technical-Requirements.xlsx
03_Requirements/T3_REQ-003_System-and-Technical-Requirements.md</t>
  </si>
  <si>
    <t xml:space="preserve">11 SR, 32 TR</t>
  </si>
  <si>
    <t xml:space="preserve">REQ-004</t>
  </si>
  <si>
    <t xml:space="preserve">Similar missions review and RADARSAT requirements analysis</t>
  </si>
  <si>
    <t xml:space="preserve">references/T3_REQ-004_Reference-Missions-Review.md</t>
  </si>
  <si>
    <t xml:space="preserve">REQ-005</t>
  </si>
  <si>
    <t xml:space="preserve">Compliance check with maritime regulations</t>
  </si>
  <si>
    <t xml:space="preserve">Mikhail Timofeenko</t>
  </si>
  <si>
    <t xml:space="preserve">09_Maritime_Compliance/T3_REQ-005_Maritime-Compliance-Matrix.csv</t>
  </si>
  <si>
    <t xml:space="preserve">Starter matrix, statuses to confirm</t>
  </si>
  <si>
    <t xml:space="preserve">CON-001</t>
  </si>
  <si>
    <t xml:space="preserve">Concept of operations</t>
  </si>
  <si>
    <t xml:space="preserve">CON</t>
  </si>
  <si>
    <t xml:space="preserve">02_ConOps/T3_CON-001_ConOps.md</t>
  </si>
  <si>
    <t xml:space="preserve">Starter text with scenarios S1 to S6</t>
  </si>
  <si>
    <t xml:space="preserve">CON-002</t>
  </si>
  <si>
    <t xml:space="preserve">Scenario map: functional chains S1 to S6</t>
  </si>
  <si>
    <t xml:space="preserve">svg, png</t>
  </si>
  <si>
    <t xml:space="preserve">02_ConOps/T3_CON-002_Scenario-Map.svg
02_ConOps/T3_CON-002_Scenario-Map.png</t>
  </si>
  <si>
    <t xml:space="preserve">ARC-001</t>
  </si>
  <si>
    <t xml:space="preserve">IDEF0 A-0 context diagram</t>
  </si>
  <si>
    <t xml:space="preserve">ARC</t>
  </si>
  <si>
    <t xml:space="preserve">Victoria Kulikova</t>
  </si>
  <si>
    <t xml:space="preserve">01_MBSE_Model/functional_analysis/T3_ARC-001_IDEF0-A-0-Context.svg
01_MBSE_Model/functional_analysis/T3_ARC-001_IDEF0-A-0-Context.png</t>
  </si>
  <si>
    <t xml:space="preserve">ARC-002</t>
  </si>
  <si>
    <t xml:space="preserve">IDEF0 A0 decomposition</t>
  </si>
  <si>
    <t xml:space="preserve">01_MBSE_Model/functional_analysis/T3_ARC-002_IDEF0-A0-Decomposition.svg
01_MBSE_Model/functional_analysis/T3_ARC-002_IDEF0-A0-Decomposition.png</t>
  </si>
  <si>
    <t xml:space="preserve">ARC-003</t>
  </si>
  <si>
    <t xml:space="preserve">IDEF0 A4 Deliver commands to ships</t>
  </si>
  <si>
    <t xml:space="preserve">01_MBSE_Model/functional_analysis/T3_ARC-003_IDEF0-A4-Deliver-Commands.svg
01_MBSE_Model/functional_analysis/T3_ARC-003_IDEF0-A4-Deliver-Commands.png</t>
  </si>
  <si>
    <t xml:space="preserve">ARC-005</t>
  </si>
  <si>
    <t xml:space="preserve">N2 diagram of system interfaces</t>
  </si>
  <si>
    <t xml:space="preserve">png</t>
  </si>
  <si>
    <t xml:space="preserve">07_Interface_Management/T3_ARC-005_N2-Diagram.png</t>
  </si>
  <si>
    <t xml:space="preserve">ARC-006</t>
  </si>
  <si>
    <t xml:space="preserve">Interface control documents ICD-01 to ICD-06</t>
  </si>
  <si>
    <t xml:space="preserve">07_Interface_Management/T3_ARC-006_ICD-List.md</t>
  </si>
  <si>
    <t xml:space="preserve">Listed in ARC-009</t>
  </si>
  <si>
    <t xml:space="preserve">ARC-009</t>
  </si>
  <si>
    <t xml:space="preserve">Interface management plan</t>
  </si>
  <si>
    <t xml:space="preserve">07_Interface_Management/T3_ARC-009_Interface-Management-Plan.md</t>
  </si>
  <si>
    <t xml:space="preserve">Starter text with interface list</t>
  </si>
  <si>
    <t xml:space="preserve">MOD-001</t>
  </si>
  <si>
    <t xml:space="preserve">Capella project NESR SCMS (.capella, .aird) as zip</t>
  </si>
  <si>
    <t xml:space="preserve">MOD</t>
  </si>
  <si>
    <t xml:space="preserve">zip</t>
  </si>
  <si>
    <t xml:space="preserve">01_MBSE_Model/capella/T3_MOD-001_Capella-Model.zip</t>
  </si>
  <si>
    <t xml:space="preserve">To upload; fix typo 'montoring' in model name</t>
  </si>
  <si>
    <t xml:space="preserve">MOD-002</t>
  </si>
  <si>
    <t xml:space="preserve">OAB Operational Architecture Blank</t>
  </si>
  <si>
    <t xml:space="preserve">01_MBSE_Model/diagrams/1_Operational_Analysis/T3_MOD-002_OAB-Operational-Architecture.png</t>
  </si>
  <si>
    <t xml:space="preserve">MOD-003</t>
  </si>
  <si>
    <t xml:space="preserve">OEBD Operational Entity Breakdown</t>
  </si>
  <si>
    <t xml:space="preserve">01_MBSE_Model/diagrams/1_Operational_Analysis/T3_MOD-003_OEBD-Operational-Entities.png</t>
  </si>
  <si>
    <t xml:space="preserve">GLONASS is MEO, not GSO: fix label</t>
  </si>
  <si>
    <t xml:space="preserve">MOD-004</t>
  </si>
  <si>
    <t xml:space="preserve">OCB Operational Capabilities Blank</t>
  </si>
  <si>
    <t xml:space="preserve">01_MBSE_Model/diagrams/1_Operational_Analysis/T3_MOD-004_OCB-Operational-Capabilities.png</t>
  </si>
  <si>
    <t xml:space="preserve">MOD-005</t>
  </si>
  <si>
    <t xml:space="preserve">CSA Contextual System Actors</t>
  </si>
  <si>
    <t xml:space="preserve">01_MBSE_Model/diagrams/2_System_Analysis/T3_MOD-005_CSA-Contextual-System-Actors.png</t>
  </si>
  <si>
    <t xml:space="preserve">MOD-006</t>
  </si>
  <si>
    <t xml:space="preserve">SDFB with functional chains S1, S3a, S3b, S6</t>
  </si>
  <si>
    <t xml:space="preserve">svg</t>
  </si>
  <si>
    <t xml:space="preserve">01_MBSE_Model/diagrams/2_System_Analysis/T3_MOD-006_SDFB-Root-System-Function.svg</t>
  </si>
  <si>
    <t xml:space="preserve">MOD-007</t>
  </si>
  <si>
    <t xml:space="preserve">SAB System Architecture Blank</t>
  </si>
  <si>
    <t xml:space="preserve">01_MBSE_Model/diagrams/2_System_Analysis/T3_MOD-007_SAB-System-Architecture.png</t>
  </si>
  <si>
    <t xml:space="preserve">MOD-008</t>
  </si>
  <si>
    <t xml:space="preserve">System Analysis diagrams package (CSA, SDFB, SAB)</t>
  </si>
  <si>
    <t xml:space="preserve">pdf</t>
  </si>
  <si>
    <t xml:space="preserve">01_MBSE_Model/diagrams/2_System_Analysis/T3_MOD-008_System-Analysis-Diagrams.pdf</t>
  </si>
  <si>
    <t xml:space="preserve">Submitted for problem set 2</t>
  </si>
  <si>
    <t xml:space="preserve">MOD-009</t>
  </si>
  <si>
    <t xml:space="preserve">Exchange scenarios (ES) for S2 and S6</t>
  </si>
  <si>
    <t xml:space="preserve">01_MBSE_Model/diagrams/2_System_Analysis/T3_MOD-009_ES-Exchange-Scenarios.png</t>
  </si>
  <si>
    <t xml:space="preserve">MOD-010</t>
  </si>
  <si>
    <t xml:space="preserve">Logical architecture (LAB, LFBD) in Capella</t>
  </si>
  <si>
    <t xml:space="preserve">01_MBSE_Model/diagrams/3_Logical_Architecture/T3_MOD-010_LAB-Logical-Architecture.png</t>
  </si>
  <si>
    <t xml:space="preserve">Required by PDR item 1</t>
  </si>
  <si>
    <t xml:space="preserve">SIM-001</t>
  </si>
  <si>
    <t xml:space="preserve">Kondor-FKA coverage and revisit over the NSR</t>
  </si>
  <si>
    <t xml:space="preserve">SIM</t>
  </si>
  <si>
    <t xml:space="preserve">py</t>
  </si>
  <si>
    <t xml:space="preserve">analysis/T3_SIM-001_SAR-Coverage-and-Revisit.py</t>
  </si>
  <si>
    <t xml:space="preserve">Confirms TR-13 (24 h TBR)</t>
  </si>
  <si>
    <t xml:space="preserve">SIM-002</t>
  </si>
  <si>
    <t xml:space="preserve">Communication coverage and availability, 66 to 82 deg N</t>
  </si>
  <si>
    <t xml:space="preserve">analysis/T3_SIM-002_Comms-Availability.py</t>
  </si>
  <si>
    <t xml:space="preserve">Verifies TR-09</t>
  </si>
  <si>
    <t xml:space="preserve">SIM-003</t>
  </si>
  <si>
    <t xml:space="preserve">End-to-end latency budget</t>
  </si>
  <si>
    <t xml:space="preserve">analysis/T3_SIM-003_Latency-Budget.xlsx</t>
  </si>
  <si>
    <t xml:space="preserve">Verifies TR-10, TR-11, TR-14</t>
  </si>
  <si>
    <t xml:space="preserve">SIM-004</t>
  </si>
  <si>
    <t xml:space="preserve">Trade study: LEO vs HEO communication architecture</t>
  </si>
  <si>
    <t xml:space="preserve">analysis/T3_SIM-004_Trade-Study-LEO-vs-HEO.xlsx</t>
  </si>
  <si>
    <t xml:space="preserve">SAF-001</t>
  </si>
  <si>
    <t xml:space="preserve">Risk register (5x5)</t>
  </si>
  <si>
    <t xml:space="preserve">SAF</t>
  </si>
  <si>
    <t xml:space="preserve">05_Risk_Analysis/T3_SAF-001_Risk-Register.csv</t>
  </si>
  <si>
    <t xml:space="preserve">Seeded with 7 risks</t>
  </si>
  <si>
    <t xml:space="preserve">SAF-002</t>
  </si>
  <si>
    <t xml:space="preserve">FMEA: on-board terminal and ground platform</t>
  </si>
  <si>
    <t xml:space="preserve">05_Risk_Analysis/T3_SAF-002_FMEA.xlsx</t>
  </si>
  <si>
    <t xml:space="preserve">SAF-003</t>
  </si>
  <si>
    <t xml:space="preserve">Reliability and availability analysis</t>
  </si>
  <si>
    <t xml:space="preserve">05_Risk_Analysis/T3_SAF-003_Reliability-and-Availability.xlsx</t>
  </si>
  <si>
    <t xml:space="preserve">Verifies TR-23, TR-24</t>
  </si>
  <si>
    <t xml:space="preserve">VV-001</t>
  </si>
  <si>
    <t xml:space="preserve">Verification cross-reference matrix</t>
  </si>
  <si>
    <t xml:space="preserve">VV</t>
  </si>
  <si>
    <t xml:space="preserve">06_Verification_Validation/T3_VV-001_VCRM.csv</t>
  </si>
  <si>
    <t xml:space="preserve">Generated from REQ-003</t>
  </si>
  <si>
    <t xml:space="preserve">VV-002</t>
  </si>
  <si>
    <t xml:space="preserve">System verification and validation plan</t>
  </si>
  <si>
    <t xml:space="preserve">06_Verification_Validation/T3_VV-002_VV-Plan.md</t>
  </si>
  <si>
    <t xml:space="preserve">Starter text</t>
  </si>
  <si>
    <t xml:space="preserve">PS-002</t>
  </si>
  <si>
    <t xml:space="preserve">Problem set 2: System Analysis (CSA, SDFB, SAB, ES)</t>
  </si>
  <si>
    <t xml:space="preserve">PS</t>
  </si>
  <si>
    <t xml:space="preserve">problem-sets/PS02_System_Analysis/README.md</t>
  </si>
  <si>
    <t xml:space="preserve">Files in 01_MBSE_Model</t>
  </si>
  <si>
    <t xml:space="preserve">REV-001</t>
  </si>
  <si>
    <t xml:space="preserve">PDR presentation</t>
  </si>
  <si>
    <t xml:space="preserve">REV</t>
  </si>
  <si>
    <t xml:space="preserve">All (CM assembles)</t>
  </si>
  <si>
    <t xml:space="preserve">pptx</t>
  </si>
  <si>
    <t xml:space="preserve">reviews/T3_REV-001_PDR-Presentation.pptx</t>
  </si>
  <si>
    <t xml:space="preserve">REF-001</t>
  </si>
  <si>
    <t xml:space="preserve">References: NASA SE Handbook, reference missions, standards</t>
  </si>
  <si>
    <t xml:space="preserve">REF</t>
  </si>
  <si>
    <t xml:space="preserve">references/T3_REF-001_References.md</t>
  </si>
  <si>
    <t xml:space="preserve">#</t>
  </si>
  <si>
    <t xml:space="preserve">PDR deliverable</t>
  </si>
  <si>
    <t xml:space="preserve">Folder</t>
  </si>
  <si>
    <t xml:space="preserve">Primary CI</t>
  </si>
  <si>
    <t xml:space="preserve">Primary CI status</t>
  </si>
  <si>
    <t xml:space="preserve">CIs</t>
  </si>
  <si>
    <t xml:space="preserve">Draft or in review</t>
  </si>
  <si>
    <t xml:space="preserve">Baselined</t>
  </si>
  <si>
    <t xml:space="preserve">Progress</t>
  </si>
  <si>
    <t xml:space="preserve">MBSE model in Arcadia-Capella: stakeholders, operational analysis, system analysis, logical architecture</t>
  </si>
  <si>
    <t xml:space="preserve">01_MBSE_Model</t>
  </si>
  <si>
    <t xml:space="preserve">ConOps of the proposed system</t>
  </si>
  <si>
    <t xml:space="preserve">02_ConOps</t>
  </si>
  <si>
    <t xml:space="preserve">Clear set of technical requirements</t>
  </si>
  <si>
    <t xml:space="preserve">03_Requirements</t>
  </si>
  <si>
    <t xml:space="preserve">Project management plan including WBS</t>
  </si>
  <si>
    <t xml:space="preserve">04_Project_Management</t>
  </si>
  <si>
    <t xml:space="preserve">Risk analysis</t>
  </si>
  <si>
    <t xml:space="preserve">05_Risk_Analysis</t>
  </si>
  <si>
    <t xml:space="preserve">System verification and validation plans</t>
  </si>
  <si>
    <t xml:space="preserve">06_Verification_Validation</t>
  </si>
  <si>
    <t xml:space="preserve">07_Interface_Management</t>
  </si>
  <si>
    <t xml:space="preserve">Configuration management and data management baseline plan</t>
  </si>
  <si>
    <t xml:space="preserve">08_Configuration_Data_Management</t>
  </si>
  <si>
    <t xml:space="preserve">09_Maritime_Compliance</t>
  </si>
  <si>
    <t xml:space="preserve">Total</t>
  </si>
  <si>
    <t xml:space="preserve">Progress counts a draft as half done and a baselined item as done.</t>
  </si>
  <si>
    <t xml:space="preserve">Team member</t>
  </si>
  <si>
    <t xml:space="preserve">Role</t>
  </si>
  <si>
    <t xml:space="preserve">Responsible for</t>
  </si>
  <si>
    <t xml:space="preserve">CIs owned</t>
  </si>
  <si>
    <t xml:space="preserve">In review</t>
  </si>
  <si>
    <t xml:space="preserve">MBSE and Requirements Engineer</t>
  </si>
  <si>
    <t xml:space="preserve">Capella model (OA, SA) and diagrams; system and technical requirements; IDEF0 A4; simulations</t>
  </si>
  <si>
    <t xml:space="preserve">Functional &amp; Interface Engineer and Architecture</t>
  </si>
  <si>
    <t xml:space="preserve">IDEF0 A-0 and A0; logical architecture; N2; ICDs; interface management plan</t>
  </si>
  <si>
    <t xml:space="preserve">Stakeholders and Documentation Engineer, configuration manager (proposed)</t>
  </si>
  <si>
    <t xml:space="preserve">Mission and NGO; stakeholders; ConOps; project management plan and WBS; CM/DM plan</t>
  </si>
  <si>
    <t xml:space="preserve">Safety, Risk, Reliability, Verification and Validation Engineer</t>
  </si>
  <si>
    <t xml:space="preserve">Risk analysis; FMEA; reliability; V&amp;V plans; maritime compliance check</t>
  </si>
  <si>
    <t xml:space="preserve">Whole team</t>
  </si>
  <si>
    <t xml:space="preserve">Review packages: PDR presentation</t>
  </si>
  <si>
    <t xml:space="preserve">01_MBSE_Model/capella</t>
  </si>
  <si>
    <t xml:space="preserve">01_MBSE_Model/diagrams/1_Operational_Analysis</t>
  </si>
  <si>
    <t xml:space="preserve">01_MBSE_Model/diagrams/2_System_Analysis</t>
  </si>
  <si>
    <t xml:space="preserve">01_MBSE_Model/diagrams/3_Logical_Architecture</t>
  </si>
  <si>
    <t xml:space="preserve">01_MBSE_Model/functional_analysis</t>
  </si>
  <si>
    <t xml:space="preserve">analysis</t>
  </si>
  <si>
    <t xml:space="preserve">problem-sets/PS02_System_Analysis</t>
  </si>
  <si>
    <t xml:space="preserve">references</t>
  </si>
  <si>
    <t xml:space="preserve">reviews</t>
  </si>
  <si>
    <t xml:space="preserve">.</t>
  </si>
  <si>
    <t xml:space="preserve">Baseline</t>
  </si>
  <si>
    <t xml:space="preserve">Review</t>
  </si>
  <si>
    <t xml:space="preserve">Content</t>
  </si>
  <si>
    <t xml:space="preserve">Git tag</t>
  </si>
  <si>
    <t xml:space="preserve">Date</t>
  </si>
  <si>
    <t xml:space="preserve">Functional</t>
  </si>
  <si>
    <t xml:space="preserve">SRR</t>
  </si>
  <si>
    <t xml:space="preserve">Mission and NGO, stakeholders, system requirements, ConOps</t>
  </si>
  <si>
    <t xml:space="preserve">srr-baseline</t>
  </si>
  <si>
    <t xml:space="preserve">Allocated</t>
  </si>
  <si>
    <t xml:space="preserve">PDR</t>
  </si>
  <si>
    <t xml:space="preserve">All 9 PDR deliverables at v1.0</t>
  </si>
  <si>
    <t xml:space="preserve">pdr-v1.0</t>
  </si>
  <si>
    <t xml:space="preserve">Product</t>
  </si>
  <si>
    <t xml:space="preserve">CDR</t>
  </si>
  <si>
    <t xml:space="preserve">Detailed design (later phase)</t>
  </si>
  <si>
    <t xml:space="preserve">cdr-v2.0</t>
  </si>
  <si>
    <t xml:space="preserve">From version</t>
  </si>
  <si>
    <t xml:space="preserve">To version</t>
  </si>
  <si>
    <t xml:space="preserve">Change</t>
  </si>
  <si>
    <t xml:space="preserve">Author</t>
  </si>
  <si>
    <t xml:space="preserve">Issue / PR</t>
  </si>
  <si>
    <t xml:space="preserve">Register moved to the GitHub repository; file names without versions; official 9 PDR deliverables</t>
  </si>
  <si>
    <t xml:space="preserve">initial commit</t>
  </si>
  <si>
    <t xml:space="preserve">Reduced to 11 SR and 32 TR with concrete values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</si>
</sst>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0%"/>
    <numFmt numFmtId="167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BFBFB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5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2" t="s">
        <v>13</v>
      </c>
    </row>
    <row r="18" customFormat="false" ht="23.8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3" min="3" style="0" width="9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9" min="9" style="0" width="62"/>
    <col collapsed="false" customWidth="true" hidden="false" outlineLevel="0" max="10" min="10" style="0" width="8"/>
    <col collapsed="false" customWidth="true" hidden="false" outlineLevel="0" max="11" min="11" style="0" width="12"/>
    <col collapsed="false" customWidth="true" hidden="false" outlineLevel="0" max="12" min="12" style="0" width="36"/>
  </cols>
  <sheetData>
    <row r="1" customFormat="false" ht="26.85" hidden="false" customHeight="false" outlineLevel="0" collapsed="false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4" t="s">
        <v>28</v>
      </c>
      <c r="L1" s="4" t="s">
        <v>29</v>
      </c>
    </row>
    <row r="2" customFormat="false" ht="26.85" hidden="false" customHeight="false" outlineLevel="0" collapsed="false">
      <c r="A2" s="5" t="s">
        <v>30</v>
      </c>
      <c r="B2" s="5" t="s">
        <v>31</v>
      </c>
      <c r="C2" s="5" t="s">
        <v>32</v>
      </c>
      <c r="D2" s="5" t="s">
        <v>33</v>
      </c>
      <c r="E2" s="5" t="s">
        <v>34</v>
      </c>
      <c r="F2" s="6" t="s">
        <v>35</v>
      </c>
      <c r="G2" s="6" t="s">
        <v>36</v>
      </c>
      <c r="H2" s="5" t="n">
        <v>8</v>
      </c>
      <c r="I2" s="5" t="s">
        <v>37</v>
      </c>
      <c r="J2" s="6" t="s">
        <v>38</v>
      </c>
      <c r="K2" s="7" t="n">
        <v>46324</v>
      </c>
      <c r="L2" s="6" t="s">
        <v>39</v>
      </c>
    </row>
    <row r="3" customFormat="false" ht="15" hidden="false" customHeight="false" outlineLevel="0" collapsed="false">
      <c r="A3" s="5" t="s">
        <v>40</v>
      </c>
      <c r="B3" s="5" t="s">
        <v>41</v>
      </c>
      <c r="C3" s="5" t="s">
        <v>32</v>
      </c>
      <c r="D3" s="5" t="s">
        <v>33</v>
      </c>
      <c r="E3" s="5" t="s">
        <v>42</v>
      </c>
      <c r="F3" s="6" t="s">
        <v>43</v>
      </c>
      <c r="G3" s="6" t="s">
        <v>36</v>
      </c>
      <c r="H3" s="5"/>
      <c r="I3" s="5" t="s">
        <v>44</v>
      </c>
      <c r="J3" s="6" t="s">
        <v>38</v>
      </c>
      <c r="K3" s="7" t="n">
        <v>46324</v>
      </c>
      <c r="L3" s="6" t="s">
        <v>45</v>
      </c>
    </row>
    <row r="4" customFormat="false" ht="26.85" hidden="false" customHeight="false" outlineLevel="0" collapsed="false">
      <c r="A4" s="5" t="s">
        <v>46</v>
      </c>
      <c r="B4" s="5" t="s">
        <v>47</v>
      </c>
      <c r="C4" s="5" t="s">
        <v>32</v>
      </c>
      <c r="D4" s="5" t="s">
        <v>33</v>
      </c>
      <c r="E4" s="5" t="s">
        <v>42</v>
      </c>
      <c r="F4" s="6" t="s">
        <v>43</v>
      </c>
      <c r="G4" s="6" t="s">
        <v>36</v>
      </c>
      <c r="H4" s="5" t="n">
        <v>4</v>
      </c>
      <c r="I4" s="5" t="s">
        <v>48</v>
      </c>
      <c r="J4" s="6" t="s">
        <v>38</v>
      </c>
      <c r="K4" s="7" t="n">
        <v>46324</v>
      </c>
      <c r="L4" s="6" t="s">
        <v>49</v>
      </c>
    </row>
    <row r="5" customFormat="false" ht="15" hidden="false" customHeight="false" outlineLevel="0" collapsed="false">
      <c r="A5" s="5" t="s">
        <v>50</v>
      </c>
      <c r="B5" s="5" t="s">
        <v>51</v>
      </c>
      <c r="C5" s="5" t="s">
        <v>32</v>
      </c>
      <c r="D5" s="5" t="s">
        <v>33</v>
      </c>
      <c r="E5" s="5" t="s">
        <v>42</v>
      </c>
      <c r="F5" s="6" t="s">
        <v>43</v>
      </c>
      <c r="G5" s="6" t="s">
        <v>36</v>
      </c>
      <c r="H5" s="5" t="n">
        <v>4</v>
      </c>
      <c r="I5" s="5" t="s">
        <v>52</v>
      </c>
      <c r="J5" s="6" t="s">
        <v>38</v>
      </c>
      <c r="K5" s="7" t="n">
        <v>46324</v>
      </c>
      <c r="L5" s="6" t="s">
        <v>53</v>
      </c>
    </row>
    <row r="6" customFormat="false" ht="26.85" hidden="false" customHeight="false" outlineLevel="0" collapsed="false">
      <c r="A6" s="5" t="s">
        <v>54</v>
      </c>
      <c r="B6" s="5" t="s">
        <v>55</v>
      </c>
      <c r="C6" s="5" t="s">
        <v>32</v>
      </c>
      <c r="D6" s="5" t="s">
        <v>33</v>
      </c>
      <c r="E6" s="5" t="s">
        <v>42</v>
      </c>
      <c r="F6" s="6" t="s">
        <v>56</v>
      </c>
      <c r="G6" s="6" t="s">
        <v>57</v>
      </c>
      <c r="H6" s="5" t="n">
        <v>4</v>
      </c>
      <c r="I6" s="5" t="s">
        <v>58</v>
      </c>
      <c r="J6" s="6" t="s">
        <v>59</v>
      </c>
      <c r="K6" s="6"/>
      <c r="L6" s="6" t="s">
        <v>60</v>
      </c>
    </row>
    <row r="7" customFormat="false" ht="15" hidden="false" customHeight="false" outlineLevel="0" collapsed="false">
      <c r="A7" s="5" t="s">
        <v>61</v>
      </c>
      <c r="B7" s="5" t="s">
        <v>62</v>
      </c>
      <c r="C7" s="5" t="s">
        <v>32</v>
      </c>
      <c r="D7" s="5" t="s">
        <v>33</v>
      </c>
      <c r="E7" s="5" t="s">
        <v>63</v>
      </c>
      <c r="F7" s="6" t="s">
        <v>43</v>
      </c>
      <c r="G7" s="6" t="s">
        <v>36</v>
      </c>
      <c r="H7" s="5" t="n">
        <v>4</v>
      </c>
      <c r="I7" s="5" t="s">
        <v>64</v>
      </c>
      <c r="J7" s="6" t="s">
        <v>38</v>
      </c>
      <c r="K7" s="7" t="n">
        <v>46324</v>
      </c>
      <c r="L7" s="6"/>
    </row>
    <row r="8" customFormat="false" ht="26.85" hidden="false" customHeight="false" outlineLevel="0" collapsed="false">
      <c r="A8" s="5" t="s">
        <v>65</v>
      </c>
      <c r="B8" s="5" t="s">
        <v>66</v>
      </c>
      <c r="C8" s="5" t="s">
        <v>32</v>
      </c>
      <c r="D8" s="5" t="s">
        <v>33</v>
      </c>
      <c r="E8" s="5" t="s">
        <v>42</v>
      </c>
      <c r="F8" s="6" t="s">
        <v>43</v>
      </c>
      <c r="G8" s="6" t="s">
        <v>36</v>
      </c>
      <c r="H8" s="5" t="n">
        <v>8</v>
      </c>
      <c r="I8" s="5" t="s">
        <v>67</v>
      </c>
      <c r="J8" s="6" t="s">
        <v>38</v>
      </c>
      <c r="K8" s="7" t="n">
        <v>46324</v>
      </c>
      <c r="L8" s="6"/>
    </row>
    <row r="9" customFormat="false" ht="26.85" hidden="false" customHeight="false" outlineLevel="0" collapsed="false">
      <c r="A9" s="5" t="s">
        <v>68</v>
      </c>
      <c r="B9" s="5" t="s">
        <v>69</v>
      </c>
      <c r="C9" s="5" t="s">
        <v>32</v>
      </c>
      <c r="D9" s="5" t="s">
        <v>33</v>
      </c>
      <c r="E9" s="5" t="s">
        <v>42</v>
      </c>
      <c r="F9" s="6" t="s">
        <v>43</v>
      </c>
      <c r="G9" s="6" t="s">
        <v>36</v>
      </c>
      <c r="H9" s="5" t="n">
        <v>8</v>
      </c>
      <c r="I9" s="5" t="s">
        <v>70</v>
      </c>
      <c r="J9" s="6" t="s">
        <v>38</v>
      </c>
      <c r="K9" s="7" t="n">
        <v>46324</v>
      </c>
      <c r="L9" s="6" t="s">
        <v>71</v>
      </c>
    </row>
    <row r="10" customFormat="false" ht="26.85" hidden="false" customHeight="false" outlineLevel="0" collapsed="false">
      <c r="A10" s="5" t="s">
        <v>72</v>
      </c>
      <c r="B10" s="5" t="s">
        <v>73</v>
      </c>
      <c r="C10" s="5" t="s">
        <v>74</v>
      </c>
      <c r="D10" s="5" t="s">
        <v>33</v>
      </c>
      <c r="E10" s="5" t="s">
        <v>42</v>
      </c>
      <c r="F10" s="6" t="s">
        <v>43</v>
      </c>
      <c r="G10" s="6" t="s">
        <v>36</v>
      </c>
      <c r="H10" s="5" t="n">
        <v>2</v>
      </c>
      <c r="I10" s="5" t="s">
        <v>75</v>
      </c>
      <c r="J10" s="6" t="s">
        <v>38</v>
      </c>
      <c r="K10" s="7" t="n">
        <v>46324</v>
      </c>
      <c r="L10" s="6"/>
    </row>
    <row r="11" customFormat="false" ht="15" hidden="false" customHeight="false" outlineLevel="0" collapsed="false">
      <c r="A11" s="5" t="s">
        <v>76</v>
      </c>
      <c r="B11" s="5" t="s">
        <v>77</v>
      </c>
      <c r="C11" s="5" t="s">
        <v>74</v>
      </c>
      <c r="D11" s="5" t="s">
        <v>33</v>
      </c>
      <c r="E11" s="5" t="s">
        <v>42</v>
      </c>
      <c r="F11" s="6" t="s">
        <v>43</v>
      </c>
      <c r="G11" s="6" t="s">
        <v>36</v>
      </c>
      <c r="H11" s="5" t="n">
        <v>1</v>
      </c>
      <c r="I11" s="5" t="s">
        <v>78</v>
      </c>
      <c r="J11" s="6" t="s">
        <v>38</v>
      </c>
      <c r="K11" s="7" t="n">
        <v>46324</v>
      </c>
      <c r="L11" s="6" t="s">
        <v>79</v>
      </c>
    </row>
    <row r="12" customFormat="false" ht="52.2" hidden="false" customHeight="false" outlineLevel="0" collapsed="false">
      <c r="A12" s="5" t="s">
        <v>80</v>
      </c>
      <c r="B12" s="5" t="s">
        <v>81</v>
      </c>
      <c r="C12" s="5" t="s">
        <v>74</v>
      </c>
      <c r="D12" s="5" t="s">
        <v>82</v>
      </c>
      <c r="E12" s="5" t="s">
        <v>83</v>
      </c>
      <c r="F12" s="6" t="s">
        <v>84</v>
      </c>
      <c r="G12" s="6" t="s">
        <v>36</v>
      </c>
      <c r="H12" s="5" t="n">
        <v>3</v>
      </c>
      <c r="I12" s="5" t="s">
        <v>85</v>
      </c>
      <c r="J12" s="6" t="s">
        <v>38</v>
      </c>
      <c r="K12" s="7" t="n">
        <v>46324</v>
      </c>
      <c r="L12" s="6" t="s">
        <v>86</v>
      </c>
    </row>
    <row r="13" customFormat="false" ht="26.85" hidden="false" customHeight="false" outlineLevel="0" collapsed="false">
      <c r="A13" s="5" t="s">
        <v>87</v>
      </c>
      <c r="B13" s="5" t="s">
        <v>88</v>
      </c>
      <c r="C13" s="5" t="s">
        <v>74</v>
      </c>
      <c r="D13" s="5" t="s">
        <v>82</v>
      </c>
      <c r="E13" s="5" t="s">
        <v>42</v>
      </c>
      <c r="F13" s="6" t="s">
        <v>56</v>
      </c>
      <c r="G13" s="6" t="s">
        <v>57</v>
      </c>
      <c r="H13" s="5"/>
      <c r="I13" s="5" t="s">
        <v>89</v>
      </c>
      <c r="J13" s="6" t="s">
        <v>59</v>
      </c>
      <c r="K13" s="6"/>
      <c r="L13" s="6"/>
    </row>
    <row r="14" customFormat="false" ht="26.85" hidden="false" customHeight="false" outlineLevel="0" collapsed="false">
      <c r="A14" s="5" t="s">
        <v>90</v>
      </c>
      <c r="B14" s="5" t="s">
        <v>91</v>
      </c>
      <c r="C14" s="5" t="s">
        <v>74</v>
      </c>
      <c r="D14" s="5" t="s">
        <v>92</v>
      </c>
      <c r="E14" s="5" t="s">
        <v>63</v>
      </c>
      <c r="F14" s="6" t="s">
        <v>43</v>
      </c>
      <c r="G14" s="6" t="s">
        <v>36</v>
      </c>
      <c r="H14" s="5" t="n">
        <v>9</v>
      </c>
      <c r="I14" s="5" t="s">
        <v>93</v>
      </c>
      <c r="J14" s="6" t="s">
        <v>38</v>
      </c>
      <c r="K14" s="7" t="n">
        <v>46324</v>
      </c>
      <c r="L14" s="6" t="s">
        <v>94</v>
      </c>
    </row>
    <row r="15" customFormat="false" ht="15" hidden="false" customHeight="false" outlineLevel="0" collapsed="false">
      <c r="A15" s="5" t="s">
        <v>95</v>
      </c>
      <c r="B15" s="5" t="s">
        <v>96</v>
      </c>
      <c r="C15" s="5" t="s">
        <v>97</v>
      </c>
      <c r="D15" s="5" t="s">
        <v>33</v>
      </c>
      <c r="E15" s="5" t="s">
        <v>42</v>
      </c>
      <c r="F15" s="6" t="s">
        <v>43</v>
      </c>
      <c r="G15" s="6" t="s">
        <v>36</v>
      </c>
      <c r="H15" s="5" t="n">
        <v>2</v>
      </c>
      <c r="I15" s="5" t="s">
        <v>98</v>
      </c>
      <c r="J15" s="6" t="s">
        <v>38</v>
      </c>
      <c r="K15" s="7" t="n">
        <v>46324</v>
      </c>
      <c r="L15" s="6" t="s">
        <v>99</v>
      </c>
    </row>
    <row r="16" customFormat="false" ht="26.85" hidden="false" customHeight="false" outlineLevel="0" collapsed="false">
      <c r="A16" s="5" t="s">
        <v>100</v>
      </c>
      <c r="B16" s="5" t="s">
        <v>101</v>
      </c>
      <c r="C16" s="5" t="s">
        <v>97</v>
      </c>
      <c r="D16" s="5" t="s">
        <v>82</v>
      </c>
      <c r="E16" s="5" t="s">
        <v>102</v>
      </c>
      <c r="F16" s="6" t="s">
        <v>43</v>
      </c>
      <c r="G16" s="6" t="s">
        <v>36</v>
      </c>
      <c r="H16" s="5" t="n">
        <v>2</v>
      </c>
      <c r="I16" s="5" t="s">
        <v>103</v>
      </c>
      <c r="J16" s="6" t="s">
        <v>38</v>
      </c>
      <c r="K16" s="7" t="n">
        <v>46321</v>
      </c>
      <c r="L16" s="6"/>
    </row>
    <row r="17" customFormat="false" ht="52.2" hidden="false" customHeight="false" outlineLevel="0" collapsed="false">
      <c r="A17" s="5" t="s">
        <v>104</v>
      </c>
      <c r="B17" s="5" t="s">
        <v>105</v>
      </c>
      <c r="C17" s="5" t="s">
        <v>106</v>
      </c>
      <c r="D17" s="5" t="s">
        <v>107</v>
      </c>
      <c r="E17" s="5" t="s">
        <v>102</v>
      </c>
      <c r="F17" s="6" t="s">
        <v>43</v>
      </c>
      <c r="G17" s="6" t="s">
        <v>36</v>
      </c>
      <c r="H17" s="5" t="n">
        <v>1</v>
      </c>
      <c r="I17" s="5" t="s">
        <v>108</v>
      </c>
      <c r="J17" s="6" t="s">
        <v>38</v>
      </c>
      <c r="K17" s="7" t="n">
        <v>46322</v>
      </c>
      <c r="L17" s="6"/>
    </row>
    <row r="18" customFormat="false" ht="52.2" hidden="false" customHeight="false" outlineLevel="0" collapsed="false">
      <c r="A18" s="5" t="s">
        <v>109</v>
      </c>
      <c r="B18" s="5" t="s">
        <v>110</v>
      </c>
      <c r="C18" s="5" t="s">
        <v>106</v>
      </c>
      <c r="D18" s="5" t="s">
        <v>107</v>
      </c>
      <c r="E18" s="5" t="s">
        <v>102</v>
      </c>
      <c r="F18" s="6" t="s">
        <v>43</v>
      </c>
      <c r="G18" s="6" t="s">
        <v>36</v>
      </c>
      <c r="H18" s="5" t="n">
        <v>1</v>
      </c>
      <c r="I18" s="5" t="s">
        <v>111</v>
      </c>
      <c r="J18" s="6" t="s">
        <v>38</v>
      </c>
      <c r="K18" s="7" t="n">
        <v>46317</v>
      </c>
      <c r="L18" s="6"/>
    </row>
    <row r="19" customFormat="false" ht="52.2" hidden="false" customHeight="false" outlineLevel="0" collapsed="false">
      <c r="A19" s="5" t="s">
        <v>112</v>
      </c>
      <c r="B19" s="5" t="s">
        <v>113</v>
      </c>
      <c r="C19" s="5" t="s">
        <v>106</v>
      </c>
      <c r="D19" s="5" t="s">
        <v>82</v>
      </c>
      <c r="E19" s="5" t="s">
        <v>102</v>
      </c>
      <c r="F19" s="6" t="s">
        <v>43</v>
      </c>
      <c r="G19" s="6" t="s">
        <v>36</v>
      </c>
      <c r="H19" s="5" t="n">
        <v>1</v>
      </c>
      <c r="I19" s="5" t="s">
        <v>114</v>
      </c>
      <c r="J19" s="6" t="s">
        <v>38</v>
      </c>
      <c r="K19" s="7" t="n">
        <v>46321</v>
      </c>
      <c r="L19" s="6"/>
    </row>
    <row r="20" customFormat="false" ht="15" hidden="false" customHeight="false" outlineLevel="0" collapsed="false">
      <c r="A20" s="5" t="s">
        <v>115</v>
      </c>
      <c r="B20" s="5" t="s">
        <v>116</v>
      </c>
      <c r="C20" s="5" t="s">
        <v>106</v>
      </c>
      <c r="D20" s="5" t="s">
        <v>107</v>
      </c>
      <c r="E20" s="5" t="s">
        <v>117</v>
      </c>
      <c r="F20" s="6" t="s">
        <v>56</v>
      </c>
      <c r="G20" s="6" t="s">
        <v>57</v>
      </c>
      <c r="H20" s="5" t="n">
        <v>7</v>
      </c>
      <c r="I20" s="5" t="s">
        <v>118</v>
      </c>
      <c r="J20" s="6" t="s">
        <v>59</v>
      </c>
      <c r="K20" s="6"/>
      <c r="L20" s="6"/>
    </row>
    <row r="21" customFormat="false" ht="15" hidden="false" customHeight="false" outlineLevel="0" collapsed="false">
      <c r="A21" s="5" t="s">
        <v>119</v>
      </c>
      <c r="B21" s="5" t="s">
        <v>120</v>
      </c>
      <c r="C21" s="5" t="s">
        <v>106</v>
      </c>
      <c r="D21" s="5" t="s">
        <v>107</v>
      </c>
      <c r="E21" s="5" t="s">
        <v>42</v>
      </c>
      <c r="F21" s="6" t="s">
        <v>56</v>
      </c>
      <c r="G21" s="6" t="s">
        <v>57</v>
      </c>
      <c r="H21" s="5" t="n">
        <v>7</v>
      </c>
      <c r="I21" s="5" t="s">
        <v>121</v>
      </c>
      <c r="J21" s="6" t="s">
        <v>59</v>
      </c>
      <c r="K21" s="6"/>
      <c r="L21" s="6" t="s">
        <v>122</v>
      </c>
    </row>
    <row r="22" customFormat="false" ht="26.85" hidden="false" customHeight="false" outlineLevel="0" collapsed="false">
      <c r="A22" s="5" t="s">
        <v>123</v>
      </c>
      <c r="B22" s="5" t="s">
        <v>124</v>
      </c>
      <c r="C22" s="5" t="s">
        <v>106</v>
      </c>
      <c r="D22" s="5" t="s">
        <v>107</v>
      </c>
      <c r="E22" s="5" t="s">
        <v>42</v>
      </c>
      <c r="F22" s="6" t="s">
        <v>43</v>
      </c>
      <c r="G22" s="6" t="s">
        <v>36</v>
      </c>
      <c r="H22" s="5" t="n">
        <v>7</v>
      </c>
      <c r="I22" s="5" t="s">
        <v>125</v>
      </c>
      <c r="J22" s="6" t="s">
        <v>38</v>
      </c>
      <c r="K22" s="7" t="n">
        <v>46324</v>
      </c>
      <c r="L22" s="6" t="s">
        <v>126</v>
      </c>
    </row>
    <row r="23" customFormat="false" ht="26.85" hidden="false" customHeight="false" outlineLevel="0" collapsed="false">
      <c r="A23" s="5" t="s">
        <v>127</v>
      </c>
      <c r="B23" s="5" t="s">
        <v>128</v>
      </c>
      <c r="C23" s="5" t="s">
        <v>129</v>
      </c>
      <c r="D23" s="5" t="s">
        <v>82</v>
      </c>
      <c r="E23" s="5" t="s">
        <v>130</v>
      </c>
      <c r="F23" s="6" t="s">
        <v>43</v>
      </c>
      <c r="G23" s="6" t="s">
        <v>36</v>
      </c>
      <c r="H23" s="5" t="n">
        <v>1</v>
      </c>
      <c r="I23" s="5" t="s">
        <v>131</v>
      </c>
      <c r="J23" s="6" t="s">
        <v>59</v>
      </c>
      <c r="K23" s="6"/>
      <c r="L23" s="6" t="s">
        <v>132</v>
      </c>
    </row>
    <row r="24" customFormat="false" ht="26.85" hidden="false" customHeight="false" outlineLevel="0" collapsed="false">
      <c r="A24" s="5" t="s">
        <v>133</v>
      </c>
      <c r="B24" s="5" t="s">
        <v>134</v>
      </c>
      <c r="C24" s="5" t="s">
        <v>129</v>
      </c>
      <c r="D24" s="5" t="s">
        <v>82</v>
      </c>
      <c r="E24" s="5" t="s">
        <v>117</v>
      </c>
      <c r="F24" s="6" t="s">
        <v>43</v>
      </c>
      <c r="G24" s="6" t="s">
        <v>36</v>
      </c>
      <c r="H24" s="5" t="n">
        <v>1</v>
      </c>
      <c r="I24" s="5" t="s">
        <v>135</v>
      </c>
      <c r="J24" s="6" t="s">
        <v>38</v>
      </c>
      <c r="K24" s="7" t="n">
        <v>46314</v>
      </c>
      <c r="L24" s="6"/>
    </row>
    <row r="25" customFormat="false" ht="26.85" hidden="false" customHeight="false" outlineLevel="0" collapsed="false">
      <c r="A25" s="5" t="s">
        <v>136</v>
      </c>
      <c r="B25" s="5" t="s">
        <v>137</v>
      </c>
      <c r="C25" s="5" t="s">
        <v>129</v>
      </c>
      <c r="D25" s="5" t="s">
        <v>82</v>
      </c>
      <c r="E25" s="5" t="s">
        <v>117</v>
      </c>
      <c r="F25" s="6" t="s">
        <v>43</v>
      </c>
      <c r="G25" s="6" t="s">
        <v>36</v>
      </c>
      <c r="H25" s="5" t="n">
        <v>1</v>
      </c>
      <c r="I25" s="5" t="s">
        <v>138</v>
      </c>
      <c r="J25" s="6" t="s">
        <v>38</v>
      </c>
      <c r="K25" s="7" t="n">
        <v>46314</v>
      </c>
      <c r="L25" s="6" t="s">
        <v>139</v>
      </c>
    </row>
    <row r="26" customFormat="false" ht="26.85" hidden="false" customHeight="false" outlineLevel="0" collapsed="false">
      <c r="A26" s="5" t="s">
        <v>140</v>
      </c>
      <c r="B26" s="5" t="s">
        <v>141</v>
      </c>
      <c r="C26" s="5" t="s">
        <v>129</v>
      </c>
      <c r="D26" s="5" t="s">
        <v>82</v>
      </c>
      <c r="E26" s="5" t="s">
        <v>117</v>
      </c>
      <c r="F26" s="6" t="s">
        <v>43</v>
      </c>
      <c r="G26" s="6" t="s">
        <v>36</v>
      </c>
      <c r="H26" s="5" t="n">
        <v>1</v>
      </c>
      <c r="I26" s="5" t="s">
        <v>142</v>
      </c>
      <c r="J26" s="6" t="s">
        <v>38</v>
      </c>
      <c r="K26" s="7" t="n">
        <v>46314</v>
      </c>
      <c r="L26" s="6"/>
    </row>
    <row r="27" customFormat="false" ht="26.85" hidden="false" customHeight="false" outlineLevel="0" collapsed="false">
      <c r="A27" s="5" t="s">
        <v>143</v>
      </c>
      <c r="B27" s="5" t="s">
        <v>144</v>
      </c>
      <c r="C27" s="5" t="s">
        <v>129</v>
      </c>
      <c r="D27" s="5" t="s">
        <v>82</v>
      </c>
      <c r="E27" s="5" t="s">
        <v>117</v>
      </c>
      <c r="F27" s="6" t="s">
        <v>43</v>
      </c>
      <c r="G27" s="6" t="s">
        <v>36</v>
      </c>
      <c r="H27" s="5" t="n">
        <v>1</v>
      </c>
      <c r="I27" s="5" t="s">
        <v>145</v>
      </c>
      <c r="J27" s="6" t="s">
        <v>38</v>
      </c>
      <c r="K27" s="7" t="n">
        <v>46322</v>
      </c>
      <c r="L27" s="6"/>
    </row>
    <row r="28" customFormat="false" ht="26.85" hidden="false" customHeight="false" outlineLevel="0" collapsed="false">
      <c r="A28" s="5" t="s">
        <v>146</v>
      </c>
      <c r="B28" s="5" t="s">
        <v>147</v>
      </c>
      <c r="C28" s="5" t="s">
        <v>129</v>
      </c>
      <c r="D28" s="5" t="s">
        <v>82</v>
      </c>
      <c r="E28" s="5" t="s">
        <v>148</v>
      </c>
      <c r="F28" s="6" t="s">
        <v>43</v>
      </c>
      <c r="G28" s="6" t="s">
        <v>36</v>
      </c>
      <c r="H28" s="5" t="n">
        <v>1</v>
      </c>
      <c r="I28" s="5" t="s">
        <v>149</v>
      </c>
      <c r="J28" s="6" t="s">
        <v>38</v>
      </c>
      <c r="K28" s="7" t="n">
        <v>46322</v>
      </c>
      <c r="L28" s="6"/>
    </row>
    <row r="29" customFormat="false" ht="26.85" hidden="false" customHeight="false" outlineLevel="0" collapsed="false">
      <c r="A29" s="5" t="s">
        <v>150</v>
      </c>
      <c r="B29" s="5" t="s">
        <v>151</v>
      </c>
      <c r="C29" s="5" t="s">
        <v>129</v>
      </c>
      <c r="D29" s="5" t="s">
        <v>82</v>
      </c>
      <c r="E29" s="5" t="s">
        <v>117</v>
      </c>
      <c r="F29" s="6" t="s">
        <v>43</v>
      </c>
      <c r="G29" s="6" t="s">
        <v>36</v>
      </c>
      <c r="H29" s="5" t="n">
        <v>1</v>
      </c>
      <c r="I29" s="5" t="s">
        <v>152</v>
      </c>
      <c r="J29" s="6" t="s">
        <v>38</v>
      </c>
      <c r="K29" s="7" t="n">
        <v>46322</v>
      </c>
      <c r="L29" s="6"/>
    </row>
    <row r="30" customFormat="false" ht="26.85" hidden="false" customHeight="false" outlineLevel="0" collapsed="false">
      <c r="A30" s="5" t="s">
        <v>153</v>
      </c>
      <c r="B30" s="5" t="s">
        <v>154</v>
      </c>
      <c r="C30" s="5" t="s">
        <v>129</v>
      </c>
      <c r="D30" s="5" t="s">
        <v>82</v>
      </c>
      <c r="E30" s="5" t="s">
        <v>155</v>
      </c>
      <c r="F30" s="6" t="s">
        <v>43</v>
      </c>
      <c r="G30" s="6" t="s">
        <v>36</v>
      </c>
      <c r="H30" s="5" t="n">
        <v>1</v>
      </c>
      <c r="I30" s="5" t="s">
        <v>156</v>
      </c>
      <c r="J30" s="6" t="s">
        <v>38</v>
      </c>
      <c r="K30" s="7" t="n">
        <v>46322</v>
      </c>
      <c r="L30" s="6" t="s">
        <v>157</v>
      </c>
    </row>
    <row r="31" customFormat="false" ht="26.85" hidden="false" customHeight="false" outlineLevel="0" collapsed="false">
      <c r="A31" s="5" t="s">
        <v>158</v>
      </c>
      <c r="B31" s="5" t="s">
        <v>159</v>
      </c>
      <c r="C31" s="5" t="s">
        <v>129</v>
      </c>
      <c r="D31" s="5" t="s">
        <v>82</v>
      </c>
      <c r="E31" s="5" t="s">
        <v>117</v>
      </c>
      <c r="F31" s="6" t="s">
        <v>56</v>
      </c>
      <c r="G31" s="6" t="s">
        <v>57</v>
      </c>
      <c r="H31" s="5" t="n">
        <v>1</v>
      </c>
      <c r="I31" s="5" t="s">
        <v>160</v>
      </c>
      <c r="J31" s="6" t="s">
        <v>59</v>
      </c>
      <c r="K31" s="6"/>
      <c r="L31" s="6"/>
    </row>
    <row r="32" customFormat="false" ht="26.85" hidden="false" customHeight="false" outlineLevel="0" collapsed="false">
      <c r="A32" s="5" t="s">
        <v>161</v>
      </c>
      <c r="B32" s="5" t="s">
        <v>162</v>
      </c>
      <c r="C32" s="5" t="s">
        <v>129</v>
      </c>
      <c r="D32" s="5" t="s">
        <v>107</v>
      </c>
      <c r="E32" s="5" t="s">
        <v>117</v>
      </c>
      <c r="F32" s="6" t="s">
        <v>56</v>
      </c>
      <c r="G32" s="6" t="s">
        <v>57</v>
      </c>
      <c r="H32" s="5" t="n">
        <v>1</v>
      </c>
      <c r="I32" s="5" t="s">
        <v>163</v>
      </c>
      <c r="J32" s="6" t="s">
        <v>59</v>
      </c>
      <c r="K32" s="6"/>
      <c r="L32" s="6" t="s">
        <v>164</v>
      </c>
    </row>
    <row r="33" customFormat="false" ht="26.85" hidden="false" customHeight="false" outlineLevel="0" collapsed="false">
      <c r="A33" s="5" t="s">
        <v>165</v>
      </c>
      <c r="B33" s="5" t="s">
        <v>166</v>
      </c>
      <c r="C33" s="5" t="s">
        <v>167</v>
      </c>
      <c r="D33" s="5" t="s">
        <v>82</v>
      </c>
      <c r="E33" s="5" t="s">
        <v>168</v>
      </c>
      <c r="F33" s="6" t="s">
        <v>56</v>
      </c>
      <c r="G33" s="6" t="s">
        <v>57</v>
      </c>
      <c r="H33" s="5" t="n">
        <v>3</v>
      </c>
      <c r="I33" s="5" t="s">
        <v>169</v>
      </c>
      <c r="J33" s="6" t="s">
        <v>59</v>
      </c>
      <c r="K33" s="6"/>
      <c r="L33" s="6" t="s">
        <v>170</v>
      </c>
    </row>
    <row r="34" customFormat="false" ht="26.85" hidden="false" customHeight="false" outlineLevel="0" collapsed="false">
      <c r="A34" s="5" t="s">
        <v>171</v>
      </c>
      <c r="B34" s="5" t="s">
        <v>172</v>
      </c>
      <c r="C34" s="5" t="s">
        <v>167</v>
      </c>
      <c r="D34" s="5" t="s">
        <v>82</v>
      </c>
      <c r="E34" s="5" t="s">
        <v>168</v>
      </c>
      <c r="F34" s="6" t="s">
        <v>56</v>
      </c>
      <c r="G34" s="6" t="s">
        <v>57</v>
      </c>
      <c r="H34" s="5" t="n">
        <v>3</v>
      </c>
      <c r="I34" s="5" t="s">
        <v>173</v>
      </c>
      <c r="J34" s="6" t="s">
        <v>59</v>
      </c>
      <c r="K34" s="6"/>
      <c r="L34" s="6" t="s">
        <v>174</v>
      </c>
    </row>
    <row r="35" customFormat="false" ht="15" hidden="false" customHeight="false" outlineLevel="0" collapsed="false">
      <c r="A35" s="5" t="s">
        <v>175</v>
      </c>
      <c r="B35" s="5" t="s">
        <v>176</v>
      </c>
      <c r="C35" s="5" t="s">
        <v>167</v>
      </c>
      <c r="D35" s="5" t="s">
        <v>82</v>
      </c>
      <c r="E35" s="5" t="s">
        <v>34</v>
      </c>
      <c r="F35" s="6" t="s">
        <v>56</v>
      </c>
      <c r="G35" s="6" t="s">
        <v>57</v>
      </c>
      <c r="H35" s="5" t="n">
        <v>3</v>
      </c>
      <c r="I35" s="5" t="s">
        <v>177</v>
      </c>
      <c r="J35" s="6" t="s">
        <v>59</v>
      </c>
      <c r="K35" s="6"/>
      <c r="L35" s="6" t="s">
        <v>178</v>
      </c>
    </row>
    <row r="36" customFormat="false" ht="26.85" hidden="false" customHeight="false" outlineLevel="0" collapsed="false">
      <c r="A36" s="5" t="s">
        <v>179</v>
      </c>
      <c r="B36" s="5" t="s">
        <v>180</v>
      </c>
      <c r="C36" s="5" t="s">
        <v>167</v>
      </c>
      <c r="D36" s="5" t="s">
        <v>82</v>
      </c>
      <c r="E36" s="5" t="s">
        <v>34</v>
      </c>
      <c r="F36" s="6" t="s">
        <v>56</v>
      </c>
      <c r="G36" s="6" t="s">
        <v>57</v>
      </c>
      <c r="H36" s="5"/>
      <c r="I36" s="5" t="s">
        <v>181</v>
      </c>
      <c r="J36" s="6" t="s">
        <v>59</v>
      </c>
      <c r="K36" s="6"/>
      <c r="L36" s="6"/>
    </row>
    <row r="37" customFormat="false" ht="15" hidden="false" customHeight="false" outlineLevel="0" collapsed="false">
      <c r="A37" s="5" t="s">
        <v>182</v>
      </c>
      <c r="B37" s="5" t="s">
        <v>183</v>
      </c>
      <c r="C37" s="5" t="s">
        <v>184</v>
      </c>
      <c r="D37" s="5" t="s">
        <v>92</v>
      </c>
      <c r="E37" s="5" t="s">
        <v>63</v>
      </c>
      <c r="F37" s="6" t="s">
        <v>43</v>
      </c>
      <c r="G37" s="6" t="s">
        <v>36</v>
      </c>
      <c r="H37" s="5" t="n">
        <v>5</v>
      </c>
      <c r="I37" s="5" t="s">
        <v>185</v>
      </c>
      <c r="J37" s="6" t="s">
        <v>38</v>
      </c>
      <c r="K37" s="7" t="n">
        <v>46324</v>
      </c>
      <c r="L37" s="6" t="s">
        <v>186</v>
      </c>
    </row>
    <row r="38" customFormat="false" ht="15" hidden="false" customHeight="false" outlineLevel="0" collapsed="false">
      <c r="A38" s="5" t="s">
        <v>187</v>
      </c>
      <c r="B38" s="5" t="s">
        <v>188</v>
      </c>
      <c r="C38" s="5" t="s">
        <v>184</v>
      </c>
      <c r="D38" s="5" t="s">
        <v>92</v>
      </c>
      <c r="E38" s="5" t="s">
        <v>34</v>
      </c>
      <c r="F38" s="6" t="s">
        <v>56</v>
      </c>
      <c r="G38" s="6" t="s">
        <v>57</v>
      </c>
      <c r="H38" s="5" t="n">
        <v>5</v>
      </c>
      <c r="I38" s="5" t="s">
        <v>189</v>
      </c>
      <c r="J38" s="6" t="s">
        <v>59</v>
      </c>
      <c r="K38" s="6"/>
      <c r="L38" s="6"/>
    </row>
    <row r="39" customFormat="false" ht="15" hidden="false" customHeight="false" outlineLevel="0" collapsed="false">
      <c r="A39" s="5" t="s">
        <v>190</v>
      </c>
      <c r="B39" s="5" t="s">
        <v>191</v>
      </c>
      <c r="C39" s="5" t="s">
        <v>184</v>
      </c>
      <c r="D39" s="5" t="s">
        <v>92</v>
      </c>
      <c r="E39" s="5" t="s">
        <v>34</v>
      </c>
      <c r="F39" s="6" t="s">
        <v>56</v>
      </c>
      <c r="G39" s="6" t="s">
        <v>57</v>
      </c>
      <c r="H39" s="5" t="n">
        <v>5</v>
      </c>
      <c r="I39" s="5" t="s">
        <v>192</v>
      </c>
      <c r="J39" s="6" t="s">
        <v>59</v>
      </c>
      <c r="K39" s="6"/>
      <c r="L39" s="6" t="s">
        <v>193</v>
      </c>
    </row>
    <row r="40" customFormat="false" ht="15" hidden="false" customHeight="false" outlineLevel="0" collapsed="false">
      <c r="A40" s="5" t="s">
        <v>194</v>
      </c>
      <c r="B40" s="5" t="s">
        <v>195</v>
      </c>
      <c r="C40" s="5" t="s">
        <v>196</v>
      </c>
      <c r="D40" s="5" t="s">
        <v>92</v>
      </c>
      <c r="E40" s="5" t="s">
        <v>63</v>
      </c>
      <c r="F40" s="6" t="s">
        <v>43</v>
      </c>
      <c r="G40" s="6" t="s">
        <v>36</v>
      </c>
      <c r="H40" s="5" t="n">
        <v>6</v>
      </c>
      <c r="I40" s="5" t="s">
        <v>197</v>
      </c>
      <c r="J40" s="6" t="s">
        <v>38</v>
      </c>
      <c r="K40" s="7" t="n">
        <v>46324</v>
      </c>
      <c r="L40" s="6" t="s">
        <v>198</v>
      </c>
    </row>
    <row r="41" customFormat="false" ht="15" hidden="false" customHeight="false" outlineLevel="0" collapsed="false">
      <c r="A41" s="5" t="s">
        <v>199</v>
      </c>
      <c r="B41" s="5" t="s">
        <v>200</v>
      </c>
      <c r="C41" s="5" t="s">
        <v>196</v>
      </c>
      <c r="D41" s="5" t="s">
        <v>92</v>
      </c>
      <c r="E41" s="5" t="s">
        <v>42</v>
      </c>
      <c r="F41" s="6" t="s">
        <v>43</v>
      </c>
      <c r="G41" s="6" t="s">
        <v>36</v>
      </c>
      <c r="H41" s="5" t="n">
        <v>6</v>
      </c>
      <c r="I41" s="5" t="s">
        <v>201</v>
      </c>
      <c r="J41" s="6" t="s">
        <v>38</v>
      </c>
      <c r="K41" s="7" t="n">
        <v>46324</v>
      </c>
      <c r="L41" s="6" t="s">
        <v>202</v>
      </c>
    </row>
    <row r="42" customFormat="false" ht="26.85" hidden="false" customHeight="false" outlineLevel="0" collapsed="false">
      <c r="A42" s="5" t="s">
        <v>203</v>
      </c>
      <c r="B42" s="5" t="s">
        <v>204</v>
      </c>
      <c r="C42" s="5" t="s">
        <v>205</v>
      </c>
      <c r="D42" s="5" t="s">
        <v>82</v>
      </c>
      <c r="E42" s="5" t="s">
        <v>42</v>
      </c>
      <c r="F42" s="6" t="s">
        <v>43</v>
      </c>
      <c r="G42" s="6" t="s">
        <v>36</v>
      </c>
      <c r="H42" s="5"/>
      <c r="I42" s="5" t="s">
        <v>206</v>
      </c>
      <c r="J42" s="6" t="s">
        <v>38</v>
      </c>
      <c r="K42" s="7" t="n">
        <v>46322</v>
      </c>
      <c r="L42" s="6" t="s">
        <v>207</v>
      </c>
    </row>
    <row r="43" customFormat="false" ht="15" hidden="false" customHeight="false" outlineLevel="0" collapsed="false">
      <c r="A43" s="5" t="s">
        <v>208</v>
      </c>
      <c r="B43" s="5" t="s">
        <v>209</v>
      </c>
      <c r="C43" s="5" t="s">
        <v>210</v>
      </c>
      <c r="D43" s="5" t="s">
        <v>211</v>
      </c>
      <c r="E43" s="5" t="s">
        <v>212</v>
      </c>
      <c r="F43" s="6" t="s">
        <v>56</v>
      </c>
      <c r="G43" s="6" t="s">
        <v>57</v>
      </c>
      <c r="H43" s="5"/>
      <c r="I43" s="5" t="s">
        <v>213</v>
      </c>
      <c r="J43" s="6" t="s">
        <v>59</v>
      </c>
      <c r="K43" s="6"/>
      <c r="L43" s="6"/>
    </row>
    <row r="44" customFormat="false" ht="26.85" hidden="false" customHeight="false" outlineLevel="0" collapsed="false">
      <c r="A44" s="5" t="s">
        <v>214</v>
      </c>
      <c r="B44" s="5" t="s">
        <v>215</v>
      </c>
      <c r="C44" s="5" t="s">
        <v>216</v>
      </c>
      <c r="D44" s="5" t="s">
        <v>33</v>
      </c>
      <c r="E44" s="5" t="s">
        <v>42</v>
      </c>
      <c r="F44" s="6" t="s">
        <v>43</v>
      </c>
      <c r="G44" s="6" t="s">
        <v>36</v>
      </c>
      <c r="H44" s="5"/>
      <c r="I44" s="5" t="s">
        <v>217</v>
      </c>
      <c r="J44" s="6" t="s">
        <v>38</v>
      </c>
      <c r="K44" s="7" t="n">
        <v>46324</v>
      </c>
      <c r="L44" s="6"/>
    </row>
  </sheetData>
  <autoFilter ref="A1:L44"/>
  <dataValidations count="2">
    <dataValidation allowBlank="true" errorStyle="stop" operator="between" showDropDown="false" showErrorMessage="false" showInputMessage="false" sqref="G2:G44" type="list">
      <formula1>"Planned,Draft,In review,Baselined,Superseded"</formula1>
      <formula2>0</formula2>
    </dataValidation>
    <dataValidation allowBlank="true" errorStyle="stop" operator="between" showDropDown="false" showErrorMessage="false" showInputMessage="false" sqref="J2:J44" type="list">
      <formula1>"Yes,Partly,No"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0"/>
    <col collapsed="false" customWidth="true" hidden="false" outlineLevel="0" max="3" min="3" style="0" width="34"/>
    <col collapsed="false" customWidth="true" hidden="false" outlineLevel="0" max="4" min="4" style="0" width="22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7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1" min="10" style="0" width="10"/>
  </cols>
  <sheetData>
    <row r="1" customFormat="false" ht="26.85" hidden="false" customHeight="false" outlineLevel="0" collapsed="false">
      <c r="A1" s="4" t="s">
        <v>218</v>
      </c>
      <c r="B1" s="4" t="s">
        <v>219</v>
      </c>
      <c r="C1" s="4" t="s">
        <v>220</v>
      </c>
      <c r="D1" s="4" t="s">
        <v>21</v>
      </c>
      <c r="E1" s="4" t="s">
        <v>221</v>
      </c>
      <c r="F1" s="4" t="s">
        <v>222</v>
      </c>
      <c r="G1" s="4" t="s">
        <v>223</v>
      </c>
      <c r="H1" s="4" t="s">
        <v>57</v>
      </c>
      <c r="I1" s="4" t="s">
        <v>224</v>
      </c>
      <c r="J1" s="4" t="s">
        <v>225</v>
      </c>
      <c r="K1" s="4" t="s">
        <v>226</v>
      </c>
    </row>
    <row r="2" customFormat="false" ht="26.85" hidden="false" customHeight="false" outlineLevel="0" collapsed="false">
      <c r="A2" s="5" t="n">
        <v>1</v>
      </c>
      <c r="B2" s="5" t="s">
        <v>227</v>
      </c>
      <c r="C2" s="5" t="s">
        <v>228</v>
      </c>
      <c r="D2" s="5" t="s">
        <v>82</v>
      </c>
      <c r="E2" s="5" t="s">
        <v>127</v>
      </c>
      <c r="F2" s="5" t="str">
        <f aca="false">INDEX('CI register'!$G$2:$G$44,MATCH($E2,'CI register'!$A$2:$A$44,0))</f>
        <v>Draft</v>
      </c>
      <c r="G2" s="5" t="n">
        <f aca="false">COUNTIF('CI register'!$H$2:$H$44,$A2)</f>
        <v>14</v>
      </c>
      <c r="H2" s="5" t="n">
        <f aca="false">COUNTIFS('CI register'!$H$2:$H$44,$A2,'CI register'!$G$2:$G$44,"Planned")</f>
        <v>2</v>
      </c>
      <c r="I2" s="5" t="n">
        <f aca="false">COUNTIFS('CI register'!$H$2:$H$44,$A2,'CI register'!$G$2:$G$44,"Draft")+COUNTIFS('CI register'!$H$2:$H$44,$A2,'CI register'!$G$2:$G$44,"In review")</f>
        <v>12</v>
      </c>
      <c r="J2" s="5" t="n">
        <f aca="false">COUNTIFS('CI register'!$H$2:$H$44,$A2,'CI register'!$G$2:$G$44,"Baselined")</f>
        <v>0</v>
      </c>
      <c r="K2" s="8" t="n">
        <f aca="false">IF(G2=0,0,(I2*0.5+J2)/G2)</f>
        <v>0.428571428571429</v>
      </c>
    </row>
    <row r="3" customFormat="false" ht="15" hidden="false" customHeight="false" outlineLevel="0" collapsed="false">
      <c r="A3" s="5" t="n">
        <v>2</v>
      </c>
      <c r="B3" s="5" t="s">
        <v>229</v>
      </c>
      <c r="C3" s="5" t="s">
        <v>230</v>
      </c>
      <c r="D3" s="5" t="s">
        <v>33</v>
      </c>
      <c r="E3" s="5" t="s">
        <v>95</v>
      </c>
      <c r="F3" s="5" t="str">
        <f aca="false">INDEX('CI register'!$G$2:$G$44,MATCH($E3,'CI register'!$A$2:$A$44,0))</f>
        <v>Draft</v>
      </c>
      <c r="G3" s="5" t="n">
        <f aca="false">COUNTIF('CI register'!$H$2:$H$44,$A3)</f>
        <v>3</v>
      </c>
      <c r="H3" s="5" t="n">
        <f aca="false">COUNTIFS('CI register'!$H$2:$H$44,$A3,'CI register'!$G$2:$G$44,"Planned")</f>
        <v>0</v>
      </c>
      <c r="I3" s="5" t="n">
        <f aca="false">COUNTIFS('CI register'!$H$2:$H$44,$A3,'CI register'!$G$2:$G$44,"Draft")+COUNTIFS('CI register'!$H$2:$H$44,$A3,'CI register'!$G$2:$G$44,"In review")</f>
        <v>3</v>
      </c>
      <c r="J3" s="5" t="n">
        <f aca="false">COUNTIFS('CI register'!$H$2:$H$44,$A3,'CI register'!$G$2:$G$44,"Baselined")</f>
        <v>0</v>
      </c>
      <c r="K3" s="8" t="n">
        <f aca="false">IF(G3=0,0,(I3*0.5+J3)/G3)</f>
        <v>0.5</v>
      </c>
    </row>
    <row r="4" customFormat="false" ht="15" hidden="false" customHeight="false" outlineLevel="0" collapsed="false">
      <c r="A4" s="5" t="n">
        <v>3</v>
      </c>
      <c r="B4" s="5" t="s">
        <v>231</v>
      </c>
      <c r="C4" s="5" t="s">
        <v>232</v>
      </c>
      <c r="D4" s="5" t="s">
        <v>82</v>
      </c>
      <c r="E4" s="5" t="s">
        <v>80</v>
      </c>
      <c r="F4" s="5" t="str">
        <f aca="false">INDEX('CI register'!$G$2:$G$44,MATCH($E4,'CI register'!$A$2:$A$44,0))</f>
        <v>Draft</v>
      </c>
      <c r="G4" s="5" t="n">
        <f aca="false">COUNTIF('CI register'!$H$2:$H$44,$A4)</f>
        <v>4</v>
      </c>
      <c r="H4" s="5" t="n">
        <f aca="false">COUNTIFS('CI register'!$H$2:$H$44,$A4,'CI register'!$G$2:$G$44,"Planned")</f>
        <v>3</v>
      </c>
      <c r="I4" s="5" t="n">
        <f aca="false">COUNTIFS('CI register'!$H$2:$H$44,$A4,'CI register'!$G$2:$G$44,"Draft")+COUNTIFS('CI register'!$H$2:$H$44,$A4,'CI register'!$G$2:$G$44,"In review")</f>
        <v>1</v>
      </c>
      <c r="J4" s="5" t="n">
        <f aca="false">COUNTIFS('CI register'!$H$2:$H$44,$A4,'CI register'!$G$2:$G$44,"Baselined")</f>
        <v>0</v>
      </c>
      <c r="K4" s="8" t="n">
        <f aca="false">IF(G4=0,0,(I4*0.5+J4)/G4)</f>
        <v>0.125</v>
      </c>
    </row>
    <row r="5" customFormat="false" ht="15" hidden="false" customHeight="false" outlineLevel="0" collapsed="false">
      <c r="A5" s="5" t="n">
        <v>4</v>
      </c>
      <c r="B5" s="5" t="s">
        <v>233</v>
      </c>
      <c r="C5" s="5" t="s">
        <v>234</v>
      </c>
      <c r="D5" s="5" t="s">
        <v>33</v>
      </c>
      <c r="E5" s="5" t="s">
        <v>46</v>
      </c>
      <c r="F5" s="5" t="str">
        <f aca="false">INDEX('CI register'!$G$2:$G$44,MATCH($E5,'CI register'!$A$2:$A$44,0))</f>
        <v>Draft</v>
      </c>
      <c r="G5" s="5" t="n">
        <f aca="false">COUNTIF('CI register'!$H$2:$H$44,$A5)</f>
        <v>4</v>
      </c>
      <c r="H5" s="5" t="n">
        <f aca="false">COUNTIFS('CI register'!$H$2:$H$44,$A5,'CI register'!$G$2:$G$44,"Planned")</f>
        <v>1</v>
      </c>
      <c r="I5" s="5" t="n">
        <f aca="false">COUNTIFS('CI register'!$H$2:$H$44,$A5,'CI register'!$G$2:$G$44,"Draft")+COUNTIFS('CI register'!$H$2:$H$44,$A5,'CI register'!$G$2:$G$44,"In review")</f>
        <v>3</v>
      </c>
      <c r="J5" s="5" t="n">
        <f aca="false">COUNTIFS('CI register'!$H$2:$H$44,$A5,'CI register'!$G$2:$G$44,"Baselined")</f>
        <v>0</v>
      </c>
      <c r="K5" s="8" t="n">
        <f aca="false">IF(G5=0,0,(I5*0.5+J5)/G5)</f>
        <v>0.375</v>
      </c>
    </row>
    <row r="6" customFormat="false" ht="15" hidden="false" customHeight="false" outlineLevel="0" collapsed="false">
      <c r="A6" s="5" t="n">
        <v>5</v>
      </c>
      <c r="B6" s="5" t="s">
        <v>235</v>
      </c>
      <c r="C6" s="5" t="s">
        <v>236</v>
      </c>
      <c r="D6" s="5" t="s">
        <v>92</v>
      </c>
      <c r="E6" s="5" t="s">
        <v>182</v>
      </c>
      <c r="F6" s="5" t="str">
        <f aca="false">INDEX('CI register'!$G$2:$G$44,MATCH($E6,'CI register'!$A$2:$A$44,0))</f>
        <v>Draft</v>
      </c>
      <c r="G6" s="5" t="n">
        <f aca="false">COUNTIF('CI register'!$H$2:$H$44,$A6)</f>
        <v>3</v>
      </c>
      <c r="H6" s="5" t="n">
        <f aca="false">COUNTIFS('CI register'!$H$2:$H$44,$A6,'CI register'!$G$2:$G$44,"Planned")</f>
        <v>2</v>
      </c>
      <c r="I6" s="5" t="n">
        <f aca="false">COUNTIFS('CI register'!$H$2:$H$44,$A6,'CI register'!$G$2:$G$44,"Draft")+COUNTIFS('CI register'!$H$2:$H$44,$A6,'CI register'!$G$2:$G$44,"In review")</f>
        <v>1</v>
      </c>
      <c r="J6" s="5" t="n">
        <f aca="false">COUNTIFS('CI register'!$H$2:$H$44,$A6,'CI register'!$G$2:$G$44,"Baselined")</f>
        <v>0</v>
      </c>
      <c r="K6" s="8" t="n">
        <f aca="false">IF(G6=0,0,(I6*0.5+J6)/G6)</f>
        <v>0.166666666666667</v>
      </c>
    </row>
    <row r="7" customFormat="false" ht="15" hidden="false" customHeight="false" outlineLevel="0" collapsed="false">
      <c r="A7" s="5" t="n">
        <v>6</v>
      </c>
      <c r="B7" s="5" t="s">
        <v>237</v>
      </c>
      <c r="C7" s="5" t="s">
        <v>238</v>
      </c>
      <c r="D7" s="5" t="s">
        <v>92</v>
      </c>
      <c r="E7" s="5" t="s">
        <v>199</v>
      </c>
      <c r="F7" s="5" t="str">
        <f aca="false">INDEX('CI register'!$G$2:$G$44,MATCH($E7,'CI register'!$A$2:$A$44,0))</f>
        <v>Draft</v>
      </c>
      <c r="G7" s="5" t="n">
        <f aca="false">COUNTIF('CI register'!$H$2:$H$44,$A7)</f>
        <v>2</v>
      </c>
      <c r="H7" s="5" t="n">
        <f aca="false">COUNTIFS('CI register'!$H$2:$H$44,$A7,'CI register'!$G$2:$G$44,"Planned")</f>
        <v>0</v>
      </c>
      <c r="I7" s="5" t="n">
        <f aca="false">COUNTIFS('CI register'!$H$2:$H$44,$A7,'CI register'!$G$2:$G$44,"Draft")+COUNTIFS('CI register'!$H$2:$H$44,$A7,'CI register'!$G$2:$G$44,"In review")</f>
        <v>2</v>
      </c>
      <c r="J7" s="5" t="n">
        <f aca="false">COUNTIFS('CI register'!$H$2:$H$44,$A7,'CI register'!$G$2:$G$44,"Baselined")</f>
        <v>0</v>
      </c>
      <c r="K7" s="8" t="n">
        <f aca="false">IF(G7=0,0,(I7*0.5+J7)/G7)</f>
        <v>0.5</v>
      </c>
    </row>
    <row r="8" customFormat="false" ht="15" hidden="false" customHeight="false" outlineLevel="0" collapsed="false">
      <c r="A8" s="5" t="n">
        <v>7</v>
      </c>
      <c r="B8" s="5" t="s">
        <v>124</v>
      </c>
      <c r="C8" s="5" t="s">
        <v>239</v>
      </c>
      <c r="D8" s="5" t="s">
        <v>107</v>
      </c>
      <c r="E8" s="5" t="s">
        <v>123</v>
      </c>
      <c r="F8" s="5" t="str">
        <f aca="false">INDEX('CI register'!$G$2:$G$44,MATCH($E8,'CI register'!$A$2:$A$44,0))</f>
        <v>Draft</v>
      </c>
      <c r="G8" s="5" t="n">
        <f aca="false">COUNTIF('CI register'!$H$2:$H$44,$A8)</f>
        <v>3</v>
      </c>
      <c r="H8" s="5" t="n">
        <f aca="false">COUNTIFS('CI register'!$H$2:$H$44,$A8,'CI register'!$G$2:$G$44,"Planned")</f>
        <v>2</v>
      </c>
      <c r="I8" s="5" t="n">
        <f aca="false">COUNTIFS('CI register'!$H$2:$H$44,$A8,'CI register'!$G$2:$G$44,"Draft")+COUNTIFS('CI register'!$H$2:$H$44,$A8,'CI register'!$G$2:$G$44,"In review")</f>
        <v>1</v>
      </c>
      <c r="J8" s="5" t="n">
        <f aca="false">COUNTIFS('CI register'!$H$2:$H$44,$A8,'CI register'!$G$2:$G$44,"Baselined")</f>
        <v>0</v>
      </c>
      <c r="K8" s="8" t="n">
        <f aca="false">IF(G8=0,0,(I8*0.5+J8)/G8)</f>
        <v>0.166666666666667</v>
      </c>
    </row>
    <row r="9" customFormat="false" ht="26.85" hidden="false" customHeight="false" outlineLevel="0" collapsed="false">
      <c r="A9" s="5" t="n">
        <v>8</v>
      </c>
      <c r="B9" s="5" t="s">
        <v>240</v>
      </c>
      <c r="C9" s="5" t="s">
        <v>241</v>
      </c>
      <c r="D9" s="5" t="s">
        <v>33</v>
      </c>
      <c r="E9" s="5" t="s">
        <v>65</v>
      </c>
      <c r="F9" s="5" t="str">
        <f aca="false">INDEX('CI register'!$G$2:$G$44,MATCH($E9,'CI register'!$A$2:$A$44,0))</f>
        <v>Draft</v>
      </c>
      <c r="G9" s="5" t="n">
        <f aca="false">COUNTIF('CI register'!$H$2:$H$44,$A9)</f>
        <v>3</v>
      </c>
      <c r="H9" s="5" t="n">
        <f aca="false">COUNTIFS('CI register'!$H$2:$H$44,$A9,'CI register'!$G$2:$G$44,"Planned")</f>
        <v>0</v>
      </c>
      <c r="I9" s="5" t="n">
        <f aca="false">COUNTIFS('CI register'!$H$2:$H$44,$A9,'CI register'!$G$2:$G$44,"Draft")+COUNTIFS('CI register'!$H$2:$H$44,$A9,'CI register'!$G$2:$G$44,"In review")</f>
        <v>3</v>
      </c>
      <c r="J9" s="5" t="n">
        <f aca="false">COUNTIFS('CI register'!$H$2:$H$44,$A9,'CI register'!$G$2:$G$44,"Baselined")</f>
        <v>0</v>
      </c>
      <c r="K9" s="8" t="n">
        <f aca="false">IF(G9=0,0,(I9*0.5+J9)/G9)</f>
        <v>0.5</v>
      </c>
    </row>
    <row r="10" customFormat="false" ht="15" hidden="false" customHeight="false" outlineLevel="0" collapsed="false">
      <c r="A10" s="5" t="n">
        <v>9</v>
      </c>
      <c r="B10" s="5" t="s">
        <v>91</v>
      </c>
      <c r="C10" s="5" t="s">
        <v>242</v>
      </c>
      <c r="D10" s="5" t="s">
        <v>92</v>
      </c>
      <c r="E10" s="5" t="s">
        <v>90</v>
      </c>
      <c r="F10" s="5" t="str">
        <f aca="false">INDEX('CI register'!$G$2:$G$44,MATCH($E10,'CI register'!$A$2:$A$44,0))</f>
        <v>Draft</v>
      </c>
      <c r="G10" s="5" t="n">
        <f aca="false">COUNTIF('CI register'!$H$2:$H$44,$A10)</f>
        <v>1</v>
      </c>
      <c r="H10" s="5" t="n">
        <f aca="false">COUNTIFS('CI register'!$H$2:$H$44,$A10,'CI register'!$G$2:$G$44,"Planned")</f>
        <v>0</v>
      </c>
      <c r="I10" s="5" t="n">
        <f aca="false">COUNTIFS('CI register'!$H$2:$H$44,$A10,'CI register'!$G$2:$G$44,"Draft")+COUNTIFS('CI register'!$H$2:$H$44,$A10,'CI register'!$G$2:$G$44,"In review")</f>
        <v>1</v>
      </c>
      <c r="J10" s="5" t="n">
        <f aca="false">COUNTIFS('CI register'!$H$2:$H$44,$A10,'CI register'!$G$2:$G$44,"Baselined")</f>
        <v>0</v>
      </c>
      <c r="K10" s="8" t="n">
        <f aca="false">IF(G10=0,0,(I10*0.5+J10)/G10)</f>
        <v>0.5</v>
      </c>
    </row>
    <row r="11" customFormat="false" ht="15" hidden="false" customHeight="false" outlineLevel="0" collapsed="false">
      <c r="B11" s="9" t="s">
        <v>243</v>
      </c>
      <c r="G11" s="10" t="n">
        <f aca="false">SUM(G2:G10)</f>
        <v>37</v>
      </c>
      <c r="H11" s="10" t="n">
        <f aca="false">SUM(H2:H10)</f>
        <v>10</v>
      </c>
      <c r="I11" s="10" t="n">
        <f aca="false">SUM(I2:I10)</f>
        <v>27</v>
      </c>
      <c r="J11" s="10" t="n">
        <f aca="false">SUM(J2:J10)</f>
        <v>0</v>
      </c>
      <c r="K11" s="11" t="n">
        <f aca="false">IF(G11=0,0,(I11*0.5+J11)/G11)</f>
        <v>0.364864864864865</v>
      </c>
    </row>
    <row r="13" customFormat="false" ht="15" hidden="false" customHeight="false" outlineLevel="0" collapsed="false">
      <c r="B13" s="12" t="s">
        <v>244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  <col collapsed="false" customWidth="true" hidden="false" outlineLevel="0" max="3" min="3" style="0" width="60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8" min="7" style="0" width="10"/>
  </cols>
  <sheetData>
    <row r="1" customFormat="false" ht="26.85" hidden="false" customHeight="false" outlineLevel="0" collapsed="false">
      <c r="A1" s="4" t="s">
        <v>245</v>
      </c>
      <c r="B1" s="4" t="s">
        <v>246</v>
      </c>
      <c r="C1" s="4" t="s">
        <v>247</v>
      </c>
      <c r="D1" s="4" t="s">
        <v>248</v>
      </c>
      <c r="E1" s="4" t="s">
        <v>57</v>
      </c>
      <c r="F1" s="4" t="s">
        <v>36</v>
      </c>
      <c r="G1" s="4" t="s">
        <v>249</v>
      </c>
      <c r="H1" s="4" t="s">
        <v>225</v>
      </c>
    </row>
    <row r="2" customFormat="false" ht="26.85" hidden="false" customHeight="false" outlineLevel="0" collapsed="false">
      <c r="A2" s="5" t="s">
        <v>82</v>
      </c>
      <c r="B2" s="5" t="s">
        <v>250</v>
      </c>
      <c r="C2" s="5" t="s">
        <v>251</v>
      </c>
      <c r="D2" s="5" t="n">
        <f aca="false">COUNTIF('CI register'!$D$2:$D$44,$A2)</f>
        <v>18</v>
      </c>
      <c r="E2" s="5" t="n">
        <f aca="false">COUNTIFS('CI register'!$D$2:$D$44,$A2,'CI register'!$G$2:$G$44,"Planned")</f>
        <v>6</v>
      </c>
      <c r="F2" s="5" t="n">
        <f aca="false">COUNTIFS('CI register'!$D$2:$D$44,$A2,'CI register'!$G$2:$G$44,"Draft")</f>
        <v>12</v>
      </c>
      <c r="G2" s="5" t="n">
        <f aca="false">COUNTIFS('CI register'!$D$2:$D$44,$A2,'CI register'!$G$2:$G$44,"In review")</f>
        <v>0</v>
      </c>
      <c r="H2" s="5" t="n">
        <f aca="false">COUNTIFS('CI register'!$D$2:$D$44,$A2,'CI register'!$G$2:$G$44,"Baselined")</f>
        <v>0</v>
      </c>
    </row>
    <row r="3" customFormat="false" ht="26.85" hidden="false" customHeight="false" outlineLevel="0" collapsed="false">
      <c r="A3" s="5" t="s">
        <v>107</v>
      </c>
      <c r="B3" s="5" t="s">
        <v>252</v>
      </c>
      <c r="C3" s="5" t="s">
        <v>253</v>
      </c>
      <c r="D3" s="5" t="n">
        <f aca="false">COUNTIF('CI register'!$D$2:$D$44,$A3)</f>
        <v>6</v>
      </c>
      <c r="E3" s="5" t="n">
        <f aca="false">COUNTIFS('CI register'!$D$2:$D$44,$A3,'CI register'!$G$2:$G$44,"Planned")</f>
        <v>3</v>
      </c>
      <c r="F3" s="5" t="n">
        <f aca="false">COUNTIFS('CI register'!$D$2:$D$44,$A3,'CI register'!$G$2:$G$44,"Draft")</f>
        <v>3</v>
      </c>
      <c r="G3" s="5" t="n">
        <f aca="false">COUNTIFS('CI register'!$D$2:$D$44,$A3,'CI register'!$G$2:$G$44,"In review")</f>
        <v>0</v>
      </c>
      <c r="H3" s="5" t="n">
        <f aca="false">COUNTIFS('CI register'!$D$2:$D$44,$A3,'CI register'!$G$2:$G$44,"Baselined")</f>
        <v>0</v>
      </c>
    </row>
    <row r="4" customFormat="false" ht="39.55" hidden="false" customHeight="false" outlineLevel="0" collapsed="false">
      <c r="A4" s="5" t="s">
        <v>33</v>
      </c>
      <c r="B4" s="5" t="s">
        <v>254</v>
      </c>
      <c r="C4" s="5" t="s">
        <v>255</v>
      </c>
      <c r="D4" s="5" t="n">
        <f aca="false">COUNTIF('CI register'!$D$2:$D$44,$A4)</f>
        <v>12</v>
      </c>
      <c r="E4" s="5" t="n">
        <f aca="false">COUNTIFS('CI register'!$D$2:$D$44,$A4,'CI register'!$G$2:$G$44,"Planned")</f>
        <v>1</v>
      </c>
      <c r="F4" s="5" t="n">
        <f aca="false">COUNTIFS('CI register'!$D$2:$D$44,$A4,'CI register'!$G$2:$G$44,"Draft")</f>
        <v>11</v>
      </c>
      <c r="G4" s="5" t="n">
        <f aca="false">COUNTIFS('CI register'!$D$2:$D$44,$A4,'CI register'!$G$2:$G$44,"In review")</f>
        <v>0</v>
      </c>
      <c r="H4" s="5" t="n">
        <f aca="false">COUNTIFS('CI register'!$D$2:$D$44,$A4,'CI register'!$G$2:$G$44,"Baselined")</f>
        <v>0</v>
      </c>
    </row>
    <row r="5" customFormat="false" ht="26.85" hidden="false" customHeight="false" outlineLevel="0" collapsed="false">
      <c r="A5" s="5" t="s">
        <v>92</v>
      </c>
      <c r="B5" s="5" t="s">
        <v>256</v>
      </c>
      <c r="C5" s="5" t="s">
        <v>257</v>
      </c>
      <c r="D5" s="5" t="n">
        <f aca="false">COUNTIF('CI register'!$D$2:$D$44,$A5)</f>
        <v>6</v>
      </c>
      <c r="E5" s="5" t="n">
        <f aca="false">COUNTIFS('CI register'!$D$2:$D$44,$A5,'CI register'!$G$2:$G$44,"Planned")</f>
        <v>2</v>
      </c>
      <c r="F5" s="5" t="n">
        <f aca="false">COUNTIFS('CI register'!$D$2:$D$44,$A5,'CI register'!$G$2:$G$44,"Draft")</f>
        <v>4</v>
      </c>
      <c r="G5" s="5" t="n">
        <f aca="false">COUNTIFS('CI register'!$D$2:$D$44,$A5,'CI register'!$G$2:$G$44,"In review")</f>
        <v>0</v>
      </c>
      <c r="H5" s="5" t="n">
        <f aca="false">COUNTIFS('CI register'!$D$2:$D$44,$A5,'CI register'!$G$2:$G$44,"Baselined")</f>
        <v>0</v>
      </c>
    </row>
    <row r="6" customFormat="false" ht="15" hidden="false" customHeight="false" outlineLevel="0" collapsed="false">
      <c r="A6" s="5" t="s">
        <v>211</v>
      </c>
      <c r="B6" s="5" t="s">
        <v>258</v>
      </c>
      <c r="C6" s="5" t="s">
        <v>259</v>
      </c>
      <c r="D6" s="5" t="n">
        <f aca="false">COUNTIF('CI register'!$D$2:$D$44,$A6)</f>
        <v>1</v>
      </c>
      <c r="E6" s="5" t="n">
        <f aca="false">COUNTIFS('CI register'!$D$2:$D$44,$A6,'CI register'!$G$2:$G$44,"Planned")</f>
        <v>1</v>
      </c>
      <c r="F6" s="5" t="n">
        <f aca="false">COUNTIFS('CI register'!$D$2:$D$44,$A6,'CI register'!$G$2:$G$44,"Draft")</f>
        <v>0</v>
      </c>
      <c r="G6" s="5" t="n">
        <f aca="false">COUNTIFS('CI register'!$D$2:$D$44,$A6,'CI register'!$G$2:$G$44,"In review")</f>
        <v>0</v>
      </c>
      <c r="H6" s="5" t="n">
        <f aca="false">COUNTIFS('CI register'!$D$2:$D$44,$A6,'CI register'!$G$2:$G$44,"Baselined")</f>
        <v>0</v>
      </c>
    </row>
    <row r="7" customFormat="false" ht="15" hidden="false" customHeight="false" outlineLevel="0" collapsed="false">
      <c r="A7" s="9" t="s">
        <v>243</v>
      </c>
      <c r="D7" s="10" t="n">
        <f aca="false">SUM(D2:D6)</f>
        <v>43</v>
      </c>
      <c r="E7" s="10" t="n">
        <f aca="false">SUM(E2:E6)</f>
        <v>13</v>
      </c>
      <c r="F7" s="10" t="n">
        <f aca="false">SUM(F2:F6)</f>
        <v>30</v>
      </c>
      <c r="G7" s="10" t="n">
        <f aca="false">SUM(G2:G6)</f>
        <v>0</v>
      </c>
      <c r="H7" s="10" t="n">
        <f aca="false">SUM(H2:H6)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0"/>
    <col collapsed="false" customWidth="true" hidden="false" outlineLevel="0" max="3" min="3" style="0" width="8"/>
  </cols>
  <sheetData>
    <row r="1" customFormat="false" ht="15" hidden="false" customHeight="false" outlineLevel="0" collapsed="false">
      <c r="A1" s="4" t="s">
        <v>220</v>
      </c>
      <c r="B1" s="4" t="s">
        <v>25</v>
      </c>
      <c r="C1" s="4" t="s">
        <v>223</v>
      </c>
    </row>
    <row r="2" customFormat="false" ht="15" hidden="false" customHeight="false" outlineLevel="0" collapsed="false">
      <c r="A2" s="5" t="s">
        <v>260</v>
      </c>
      <c r="B2" s="5" t="n">
        <v>1</v>
      </c>
      <c r="C2" s="5" t="n">
        <f aca="false">COUNTIF('CI register'!$I$2:$I$44,$A2&amp;"/*")</f>
        <v>1</v>
      </c>
    </row>
    <row r="3" customFormat="false" ht="15" hidden="false" customHeight="false" outlineLevel="0" collapsed="false">
      <c r="A3" s="5" t="s">
        <v>261</v>
      </c>
      <c r="B3" s="5" t="n">
        <v>1</v>
      </c>
      <c r="C3" s="5" t="n">
        <f aca="false">COUNTIF('CI register'!$I$2:$I$44,$A3&amp;"/*")</f>
        <v>3</v>
      </c>
    </row>
    <row r="4" customFormat="false" ht="15" hidden="false" customHeight="false" outlineLevel="0" collapsed="false">
      <c r="A4" s="5" t="s">
        <v>262</v>
      </c>
      <c r="B4" s="5" t="n">
        <v>1</v>
      </c>
      <c r="C4" s="5" t="n">
        <f aca="false">COUNTIF('CI register'!$I$2:$I$44,$A4&amp;"/*")</f>
        <v>5</v>
      </c>
    </row>
    <row r="5" customFormat="false" ht="15" hidden="false" customHeight="false" outlineLevel="0" collapsed="false">
      <c r="A5" s="5" t="s">
        <v>263</v>
      </c>
      <c r="B5" s="5" t="n">
        <v>1</v>
      </c>
      <c r="C5" s="5" t="n">
        <f aca="false">COUNTIF('CI register'!$I$2:$I$44,$A5&amp;"/*")</f>
        <v>1</v>
      </c>
    </row>
    <row r="6" customFormat="false" ht="15" hidden="false" customHeight="false" outlineLevel="0" collapsed="false">
      <c r="A6" s="5" t="s">
        <v>264</v>
      </c>
      <c r="B6" s="5" t="n">
        <v>1</v>
      </c>
      <c r="C6" s="5" t="n">
        <f aca="false">COUNTIF('CI register'!$I$2:$I$44,$A6&amp;"/*")</f>
        <v>3</v>
      </c>
    </row>
    <row r="7" customFormat="false" ht="15" hidden="false" customHeight="false" outlineLevel="0" collapsed="false">
      <c r="A7" s="5" t="s">
        <v>230</v>
      </c>
      <c r="B7" s="5" t="n">
        <v>2</v>
      </c>
      <c r="C7" s="5" t="n">
        <f aca="false">COUNTIF('CI register'!$I$2:$I$44,$A7&amp;"/*")</f>
        <v>2</v>
      </c>
    </row>
    <row r="8" customFormat="false" ht="15" hidden="false" customHeight="false" outlineLevel="0" collapsed="false">
      <c r="A8" s="5" t="s">
        <v>232</v>
      </c>
      <c r="B8" s="5" t="n">
        <v>3</v>
      </c>
      <c r="C8" s="5" t="n">
        <f aca="false">COUNTIF('CI register'!$I$2:$I$44,$A8&amp;"/*")</f>
        <v>3</v>
      </c>
    </row>
    <row r="9" customFormat="false" ht="15" hidden="false" customHeight="false" outlineLevel="0" collapsed="false">
      <c r="A9" s="5" t="s">
        <v>234</v>
      </c>
      <c r="B9" s="5" t="n">
        <v>4</v>
      </c>
      <c r="C9" s="5" t="n">
        <f aca="false">COUNTIF('CI register'!$I$2:$I$44,$A9&amp;"/*")</f>
        <v>4</v>
      </c>
    </row>
    <row r="10" customFormat="false" ht="15" hidden="false" customHeight="false" outlineLevel="0" collapsed="false">
      <c r="A10" s="5" t="s">
        <v>236</v>
      </c>
      <c r="B10" s="5" t="n">
        <v>5</v>
      </c>
      <c r="C10" s="5" t="n">
        <f aca="false">COUNTIF('CI register'!$I$2:$I$44,$A10&amp;"/*")</f>
        <v>3</v>
      </c>
    </row>
    <row r="11" customFormat="false" ht="15" hidden="false" customHeight="false" outlineLevel="0" collapsed="false">
      <c r="A11" s="5" t="s">
        <v>238</v>
      </c>
      <c r="B11" s="5" t="n">
        <v>6</v>
      </c>
      <c r="C11" s="5" t="n">
        <f aca="false">COUNTIF('CI register'!$I$2:$I$44,$A11&amp;"/*")</f>
        <v>2</v>
      </c>
    </row>
    <row r="12" customFormat="false" ht="15" hidden="false" customHeight="false" outlineLevel="0" collapsed="false">
      <c r="A12" s="5" t="s">
        <v>239</v>
      </c>
      <c r="B12" s="5" t="n">
        <v>7</v>
      </c>
      <c r="C12" s="5" t="n">
        <f aca="false">COUNTIF('CI register'!$I$2:$I$44,$A12&amp;"/*")</f>
        <v>3</v>
      </c>
    </row>
    <row r="13" customFormat="false" ht="15" hidden="false" customHeight="false" outlineLevel="0" collapsed="false">
      <c r="A13" s="5" t="s">
        <v>241</v>
      </c>
      <c r="B13" s="5" t="n">
        <v>8</v>
      </c>
      <c r="C13" s="5" t="n">
        <f aca="false">COUNTIF('CI register'!$I$2:$I$44,$A13&amp;"/*")</f>
        <v>2</v>
      </c>
    </row>
    <row r="14" customFormat="false" ht="15" hidden="false" customHeight="false" outlineLevel="0" collapsed="false">
      <c r="A14" s="5" t="s">
        <v>242</v>
      </c>
      <c r="B14" s="5" t="n">
        <v>9</v>
      </c>
      <c r="C14" s="5" t="n">
        <f aca="false">COUNTIF('CI register'!$I$2:$I$44,$A14&amp;"/*")</f>
        <v>1</v>
      </c>
    </row>
    <row r="15" customFormat="false" ht="15" hidden="false" customHeight="false" outlineLevel="0" collapsed="false">
      <c r="A15" s="5" t="s">
        <v>265</v>
      </c>
      <c r="B15" s="5"/>
      <c r="C15" s="5" t="n">
        <f aca="false">COUNTIF('CI register'!$I$2:$I$44,$A15&amp;"/*")</f>
        <v>4</v>
      </c>
    </row>
    <row r="16" customFormat="false" ht="15" hidden="false" customHeight="false" outlineLevel="0" collapsed="false">
      <c r="A16" s="5" t="s">
        <v>266</v>
      </c>
      <c r="B16" s="5"/>
      <c r="C16" s="5" t="n">
        <f aca="false">COUNTIF('CI register'!$I$2:$I$44,$A16&amp;"/*")</f>
        <v>1</v>
      </c>
    </row>
    <row r="17" customFormat="false" ht="15" hidden="false" customHeight="false" outlineLevel="0" collapsed="false">
      <c r="A17" s="5" t="s">
        <v>267</v>
      </c>
      <c r="B17" s="5"/>
      <c r="C17" s="5" t="n">
        <f aca="false">COUNTIF('CI register'!$I$2:$I$44,$A17&amp;"/*")</f>
        <v>2</v>
      </c>
    </row>
    <row r="18" customFormat="false" ht="15" hidden="false" customHeight="false" outlineLevel="0" collapsed="false">
      <c r="A18" s="5" t="s">
        <v>268</v>
      </c>
      <c r="B18" s="5"/>
      <c r="C18" s="5" t="n">
        <f aca="false">COUNTIF('CI register'!$I$2:$I$44,$A18&amp;"/*")</f>
        <v>1</v>
      </c>
    </row>
    <row r="19" customFormat="false" ht="15" hidden="false" customHeight="false" outlineLevel="0" collapsed="false">
      <c r="A19" s="5" t="s">
        <v>269</v>
      </c>
      <c r="B19" s="5"/>
      <c r="C19" s="5" t="n">
        <f aca="false">COUNTIF('CI register'!$I$2:$I$44,"README.md")+COUNTIF('CI register'!$I$2:$I$44,"CONTRIBUTING.md")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6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0"/>
  </cols>
  <sheetData>
    <row r="1" customFormat="false" ht="26.85" hidden="false" customHeight="false" outlineLevel="0" collapsed="false">
      <c r="A1" s="4" t="s">
        <v>270</v>
      </c>
      <c r="B1" s="4" t="s">
        <v>271</v>
      </c>
      <c r="C1" s="4" t="s">
        <v>272</v>
      </c>
      <c r="D1" s="4" t="s">
        <v>273</v>
      </c>
      <c r="E1" s="4" t="s">
        <v>274</v>
      </c>
      <c r="F1" s="4" t="s">
        <v>24</v>
      </c>
    </row>
    <row r="2" customFormat="false" ht="15" hidden="false" customHeight="false" outlineLevel="0" collapsed="false">
      <c r="A2" s="5" t="s">
        <v>275</v>
      </c>
      <c r="B2" s="5" t="s">
        <v>276</v>
      </c>
      <c r="C2" s="5" t="s">
        <v>277</v>
      </c>
      <c r="D2" s="5" t="s">
        <v>278</v>
      </c>
      <c r="E2" s="6"/>
      <c r="F2" s="6" t="s">
        <v>57</v>
      </c>
    </row>
    <row r="3" customFormat="false" ht="15" hidden="false" customHeight="false" outlineLevel="0" collapsed="false">
      <c r="A3" s="5" t="s">
        <v>279</v>
      </c>
      <c r="B3" s="5" t="s">
        <v>280</v>
      </c>
      <c r="C3" s="5" t="s">
        <v>281</v>
      </c>
      <c r="D3" s="5" t="s">
        <v>282</v>
      </c>
      <c r="E3" s="6"/>
      <c r="F3" s="6" t="s">
        <v>57</v>
      </c>
    </row>
    <row r="4" customFormat="false" ht="15" hidden="false" customHeight="false" outlineLevel="0" collapsed="false">
      <c r="A4" s="5" t="s">
        <v>283</v>
      </c>
      <c r="B4" s="5" t="s">
        <v>284</v>
      </c>
      <c r="C4" s="5" t="s">
        <v>285</v>
      </c>
      <c r="D4" s="5" t="s">
        <v>286</v>
      </c>
      <c r="E4" s="6"/>
      <c r="F4" s="6" t="s">
        <v>57</v>
      </c>
    </row>
  </sheetData>
  <autoFilter ref="A1:F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70"/>
    <col collapsed="false" customWidth="true" hidden="false" outlineLevel="0" max="6" min="6" style="0" width="22"/>
    <col collapsed="false" customWidth="true" hidden="false" outlineLevel="0" max="7" min="7" style="0" width="14"/>
  </cols>
  <sheetData>
    <row r="1" customFormat="false" ht="26.85" hidden="false" customHeight="false" outlineLevel="0" collapsed="false">
      <c r="A1" s="4" t="s">
        <v>274</v>
      </c>
      <c r="B1" s="4" t="s">
        <v>18</v>
      </c>
      <c r="C1" s="4" t="s">
        <v>287</v>
      </c>
      <c r="D1" s="4" t="s">
        <v>288</v>
      </c>
      <c r="E1" s="4" t="s">
        <v>289</v>
      </c>
      <c r="F1" s="4" t="s">
        <v>290</v>
      </c>
      <c r="G1" s="4" t="s">
        <v>291</v>
      </c>
    </row>
    <row r="2" customFormat="false" ht="26.85" hidden="false" customHeight="false" outlineLevel="0" collapsed="false">
      <c r="A2" s="7" t="n">
        <v>46324</v>
      </c>
      <c r="B2" s="6" t="s">
        <v>30</v>
      </c>
      <c r="C2" s="6" t="s">
        <v>43</v>
      </c>
      <c r="D2" s="6" t="s">
        <v>35</v>
      </c>
      <c r="E2" s="6" t="s">
        <v>292</v>
      </c>
      <c r="F2" s="6" t="s">
        <v>33</v>
      </c>
      <c r="G2" s="6" t="s">
        <v>293</v>
      </c>
    </row>
    <row r="3" customFormat="false" ht="15" hidden="false" customHeight="false" outlineLevel="0" collapsed="false">
      <c r="A3" s="7" t="n">
        <v>46324</v>
      </c>
      <c r="B3" s="6" t="s">
        <v>80</v>
      </c>
      <c r="C3" s="6" t="s">
        <v>35</v>
      </c>
      <c r="D3" s="6" t="s">
        <v>84</v>
      </c>
      <c r="E3" s="6" t="s">
        <v>294</v>
      </c>
      <c r="F3" s="6" t="s">
        <v>82</v>
      </c>
      <c r="G3" s="6" t="s">
        <v>293</v>
      </c>
    </row>
    <row r="4" customFormat="false" ht="15" hidden="false" customHeight="false" outlineLevel="0" collapsed="false">
      <c r="A4" s="13"/>
      <c r="B4" s="14"/>
      <c r="C4" s="14"/>
      <c r="D4" s="14"/>
      <c r="E4" s="14"/>
      <c r="F4" s="14"/>
      <c r="G4" s="14"/>
    </row>
    <row r="5" customFormat="false" ht="15" hidden="false" customHeight="false" outlineLevel="0" collapsed="false">
      <c r="A5" s="13"/>
      <c r="B5" s="14"/>
      <c r="C5" s="14"/>
      <c r="D5" s="14"/>
      <c r="E5" s="14"/>
      <c r="F5" s="14"/>
      <c r="G5" s="14"/>
    </row>
    <row r="6" customFormat="false" ht="15" hidden="false" customHeight="false" outlineLevel="0" collapsed="false">
      <c r="A6" s="13"/>
      <c r="B6" s="14"/>
      <c r="C6" s="14"/>
      <c r="D6" s="14"/>
      <c r="E6" s="14"/>
      <c r="F6" s="14"/>
      <c r="G6" s="14"/>
    </row>
    <row r="7" customFormat="false" ht="15" hidden="false" customHeight="false" outlineLevel="0" collapsed="false">
      <c r="A7" s="13"/>
      <c r="B7" s="14"/>
      <c r="C7" s="14"/>
      <c r="D7" s="14"/>
      <c r="E7" s="14"/>
      <c r="F7" s="14"/>
      <c r="G7" s="14"/>
    </row>
    <row r="8" customFormat="false" ht="15" hidden="false" customHeight="false" outlineLevel="0" collapsed="false">
      <c r="A8" s="13"/>
      <c r="B8" s="14"/>
      <c r="C8" s="14"/>
      <c r="D8" s="14"/>
      <c r="E8" s="14"/>
      <c r="F8" s="14"/>
      <c r="G8" s="14"/>
    </row>
    <row r="9" customFormat="false" ht="15" hidden="false" customHeight="false" outlineLevel="0" collapsed="false">
      <c r="A9" s="13"/>
      <c r="B9" s="14"/>
      <c r="C9" s="14"/>
      <c r="D9" s="14"/>
      <c r="E9" s="14"/>
      <c r="F9" s="14"/>
      <c r="G9" s="14"/>
    </row>
    <row r="10" customFormat="false" ht="15" hidden="false" customHeight="false" outlineLevel="0" collapsed="false">
      <c r="A10" s="13"/>
      <c r="B10" s="14"/>
      <c r="C10" s="14"/>
      <c r="D10" s="14"/>
      <c r="E10" s="14"/>
      <c r="F10" s="14"/>
      <c r="G10" s="14"/>
    </row>
    <row r="11" customFormat="false" ht="15" hidden="false" customHeight="false" outlineLevel="0" collapsed="false">
      <c r="A11" s="13"/>
      <c r="B11" s="14"/>
      <c r="C11" s="14"/>
      <c r="D11" s="14"/>
      <c r="E11" s="14"/>
      <c r="F11" s="14"/>
      <c r="G11" s="14"/>
    </row>
    <row r="12" customFormat="false" ht="15" hidden="false" customHeight="false" outlineLevel="0" collapsed="false">
      <c r="A12" s="13"/>
      <c r="B12" s="14"/>
      <c r="C12" s="14"/>
      <c r="D12" s="14"/>
      <c r="E12" s="14"/>
      <c r="F12" s="14"/>
      <c r="G12" s="14"/>
    </row>
    <row r="13" customFormat="false" ht="15" hidden="false" customHeight="false" outlineLevel="0" collapsed="false">
      <c r="A13" s="13"/>
      <c r="B13" s="14"/>
      <c r="C13" s="14"/>
      <c r="D13" s="14"/>
      <c r="E13" s="14"/>
      <c r="F13" s="14"/>
      <c r="G13" s="14"/>
    </row>
    <row r="14" customFormat="false" ht="15" hidden="false" customHeight="false" outlineLevel="0" collapsed="false">
      <c r="A14" s="13"/>
      <c r="B14" s="14"/>
      <c r="C14" s="14"/>
      <c r="D14" s="14"/>
      <c r="E14" s="14"/>
      <c r="F14" s="14"/>
      <c r="G14" s="14"/>
    </row>
    <row r="15" customFormat="false" ht="15" hidden="false" customHeight="false" outlineLevel="0" collapsed="false">
      <c r="A15" s="13"/>
      <c r="B15" s="14"/>
      <c r="C15" s="14"/>
      <c r="D15" s="14"/>
      <c r="E15" s="14"/>
      <c r="F15" s="14"/>
      <c r="G15" s="14"/>
    </row>
    <row r="16" customFormat="false" ht="15" hidden="false" customHeight="false" outlineLevel="0" collapsed="false">
      <c r="A16" s="13"/>
      <c r="B16" s="14"/>
      <c r="C16" s="14"/>
      <c r="D16" s="14"/>
      <c r="E16" s="14"/>
      <c r="F16" s="14"/>
      <c r="G16" s="14"/>
    </row>
    <row r="17" customFormat="false" ht="15" hidden="false" customHeight="false" outlineLevel="0" collapsed="false">
      <c r="A17" s="13"/>
      <c r="B17" s="14"/>
      <c r="C17" s="14"/>
      <c r="D17" s="14"/>
      <c r="E17" s="14"/>
      <c r="F17" s="14"/>
      <c r="G17" s="14"/>
    </row>
    <row r="18" customFormat="false" ht="15" hidden="false" customHeight="false" outlineLevel="0" collapsed="false">
      <c r="A18" s="13"/>
      <c r="B18" s="14"/>
      <c r="C18" s="14"/>
      <c r="D18" s="14"/>
      <c r="E18" s="14"/>
      <c r="F18" s="14"/>
      <c r="G18" s="14"/>
    </row>
    <row r="19" customFormat="false" ht="15" hidden="false" customHeight="false" outlineLevel="0" collapsed="false">
      <c r="A19" s="13"/>
      <c r="B19" s="14"/>
      <c r="C19" s="14"/>
      <c r="D19" s="14"/>
      <c r="E19" s="14"/>
      <c r="F19" s="14"/>
      <c r="G19" s="14"/>
    </row>
    <row r="20" customFormat="false" ht="15" hidden="false" customHeight="false" outlineLevel="0" collapsed="false">
      <c r="A20" s="13"/>
      <c r="B20" s="14"/>
      <c r="C20" s="14"/>
      <c r="D20" s="14"/>
      <c r="E20" s="14"/>
      <c r="F20" s="14"/>
      <c r="G20" s="14"/>
    </row>
    <row r="21" customFormat="false" ht="15" hidden="false" customHeight="false" outlineLevel="0" collapsed="false">
      <c r="A21" s="13"/>
      <c r="B21" s="14"/>
      <c r="C21" s="14"/>
      <c r="D21" s="14"/>
      <c r="E21" s="14"/>
      <c r="F21" s="14"/>
      <c r="G21" s="14"/>
    </row>
    <row r="22" customFormat="false" ht="15" hidden="false" customHeight="false" outlineLevel="0" collapsed="false">
      <c r="A22" s="13"/>
      <c r="B22" s="14"/>
      <c r="C22" s="14"/>
      <c r="D22" s="14"/>
      <c r="E22" s="14"/>
      <c r="F22" s="14"/>
      <c r="G22" s="14"/>
    </row>
    <row r="23" customFormat="false" ht="15" hidden="false" customHeight="false" outlineLevel="0" collapsed="false">
      <c r="A23" s="13"/>
      <c r="B23" s="14"/>
      <c r="C23" s="14"/>
      <c r="D23" s="14"/>
      <c r="E23" s="14"/>
      <c r="F23" s="14"/>
      <c r="G23" s="14"/>
    </row>
    <row r="24" customFormat="false" ht="15" hidden="false" customHeight="false" outlineLevel="0" collapsed="false">
      <c r="A24" s="13"/>
      <c r="B24" s="14"/>
      <c r="C24" s="14"/>
      <c r="D24" s="14"/>
      <c r="E24" s="14"/>
      <c r="F24" s="14"/>
      <c r="G24" s="14"/>
    </row>
    <row r="25" customFormat="false" ht="15" hidden="false" customHeight="false" outlineLevel="0" collapsed="false">
      <c r="A25" s="13"/>
      <c r="B25" s="14"/>
      <c r="C25" s="14"/>
      <c r="D25" s="14"/>
      <c r="E25" s="14"/>
      <c r="F25" s="14"/>
      <c r="G25" s="14"/>
    </row>
    <row r="26" customFormat="false" ht="15" hidden="false" customHeight="false" outlineLevel="0" collapsed="false">
      <c r="A26" s="13"/>
      <c r="B26" s="14"/>
      <c r="C26" s="14"/>
      <c r="D26" s="14"/>
      <c r="E26" s="14"/>
      <c r="F26" s="14"/>
      <c r="G26" s="14"/>
    </row>
    <row r="27" customFormat="false" ht="15" hidden="false" customHeight="false" outlineLevel="0" collapsed="false">
      <c r="A27" s="13"/>
      <c r="B27" s="14"/>
      <c r="C27" s="14"/>
      <c r="D27" s="14"/>
      <c r="E27" s="14"/>
      <c r="F27" s="14"/>
      <c r="G27" s="14"/>
    </row>
    <row r="28" customFormat="false" ht="15" hidden="false" customHeight="false" outlineLevel="0" collapsed="false">
      <c r="A28" s="13"/>
      <c r="B28" s="14"/>
      <c r="C28" s="14"/>
      <c r="D28" s="14"/>
      <c r="E28" s="14"/>
      <c r="F28" s="14"/>
      <c r="G28" s="14"/>
    </row>
    <row r="29" customFormat="false" ht="15" hidden="false" customHeight="false" outlineLevel="0" collapsed="false">
      <c r="A29" s="13"/>
      <c r="B29" s="14"/>
      <c r="C29" s="14"/>
      <c r="D29" s="14"/>
      <c r="E29" s="14"/>
      <c r="F29" s="14"/>
      <c r="G29" s="14"/>
    </row>
    <row r="30" customFormat="false" ht="15" hidden="false" customHeight="false" outlineLevel="0" collapsed="false">
      <c r="A30" s="13"/>
      <c r="B30" s="14"/>
      <c r="C30" s="14"/>
      <c r="D30" s="14"/>
      <c r="E30" s="14"/>
      <c r="F30" s="14"/>
      <c r="G30" s="14"/>
    </row>
    <row r="31" customFormat="false" ht="15" hidden="false" customHeight="false" outlineLevel="0" collapsed="false">
      <c r="A31" s="13"/>
      <c r="B31" s="14"/>
      <c r="C31" s="14"/>
      <c r="D31" s="14"/>
      <c r="E31" s="14"/>
      <c r="F31" s="14"/>
      <c r="G31" s="14"/>
    </row>
    <row r="32" customFormat="false" ht="15" hidden="false" customHeight="false" outlineLevel="0" collapsed="false">
      <c r="A32" s="13"/>
      <c r="B32" s="14"/>
      <c r="C32" s="14"/>
      <c r="D32" s="14"/>
      <c r="E32" s="14"/>
      <c r="F32" s="14"/>
      <c r="G32" s="14"/>
    </row>
    <row r="33" customFormat="false" ht="15" hidden="false" customHeight="false" outlineLevel="0" collapsed="false">
      <c r="A33" s="13"/>
      <c r="B33" s="14"/>
      <c r="C33" s="14"/>
      <c r="D33" s="14"/>
      <c r="E33" s="14"/>
      <c r="F33" s="14"/>
      <c r="G33" s="14"/>
    </row>
    <row r="34" customFormat="false" ht="15" hidden="false" customHeight="false" outlineLevel="0" collapsed="false">
      <c r="A34" s="13"/>
      <c r="B34" s="14"/>
      <c r="C34" s="14"/>
      <c r="D34" s="14"/>
      <c r="E34" s="14"/>
      <c r="F34" s="14"/>
      <c r="G34" s="14"/>
    </row>
    <row r="35" customFormat="false" ht="15" hidden="false" customHeight="false" outlineLevel="0" collapsed="false">
      <c r="A35" s="13"/>
      <c r="B35" s="14"/>
      <c r="C35" s="14"/>
      <c r="D35" s="14"/>
      <c r="E35" s="14"/>
      <c r="F35" s="14"/>
      <c r="G35" s="14"/>
    </row>
    <row r="36" customFormat="false" ht="15" hidden="false" customHeight="false" outlineLevel="0" collapsed="false">
      <c r="A36" s="13"/>
      <c r="B36" s="14"/>
      <c r="C36" s="14"/>
      <c r="D36" s="14"/>
      <c r="E36" s="14"/>
      <c r="F36" s="14"/>
      <c r="G36" s="14"/>
    </row>
    <row r="37" customFormat="false" ht="15" hidden="false" customHeight="false" outlineLevel="0" collapsed="false">
      <c r="A37" s="13"/>
      <c r="B37" s="14"/>
      <c r="C37" s="14"/>
      <c r="D37" s="14"/>
      <c r="E37" s="14"/>
      <c r="F37" s="14"/>
      <c r="G37" s="14"/>
    </row>
    <row r="38" customFormat="false" ht="15" hidden="false" customHeight="false" outlineLevel="0" collapsed="false">
      <c r="A38" s="13"/>
      <c r="B38" s="14"/>
      <c r="C38" s="14"/>
      <c r="D38" s="14"/>
      <c r="E38" s="14"/>
      <c r="F38" s="14"/>
      <c r="G38" s="14"/>
    </row>
    <row r="39" customFormat="false" ht="15" hidden="false" customHeight="false" outlineLevel="0" collapsed="false">
      <c r="A39" s="13"/>
      <c r="B39" s="14"/>
      <c r="C39" s="14"/>
      <c r="D39" s="14"/>
      <c r="E39" s="14"/>
      <c r="F39" s="14"/>
      <c r="G39" s="14"/>
    </row>
    <row r="40" customFormat="false" ht="15" hidden="false" customHeight="false" outlineLevel="0" collapsed="false">
      <c r="A40" s="13"/>
      <c r="B40" s="14"/>
      <c r="C40" s="14"/>
      <c r="D40" s="14"/>
      <c r="E40" s="14"/>
      <c r="F40" s="14"/>
      <c r="G40" s="14"/>
    </row>
  </sheetData>
  <autoFilter ref="A1:G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2026-10-29T10:35:12Z</dcterms:created>
  <dc:creator>openpyxl</dc:creator>
  <dc:description/>
  <dc:language>en-US</dc:language>
  <cp:lastModifiedBy/>
  <dcterms:modified xsi:type="dcterms:W3CDTF">2026-10-29T10:35:12Z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